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filterPrivacy="1" defaultThemeVersion="124226"/>
  <xr:revisionPtr revIDLastSave="0" documentId="13_ncr:1_{9D9E3B15-C872-4243-AE83-C57D5D01B544}" xr6:coauthVersionLast="46" xr6:coauthVersionMax="46" xr10:uidLastSave="{00000000-0000-0000-0000-000000000000}"/>
  <bookViews>
    <workbookView xWindow="-110" yWindow="-110" windowWidth="18460" windowHeight="12220" tabRatio="912" activeTab="5" xr2:uid="{00000000-000D-0000-FFFF-FFFF00000000}"/>
  </bookViews>
  <sheets>
    <sheet name="表紙" sheetId="9" r:id="rId1"/>
    <sheet name="改訂履歴" sheetId="8" r:id="rId2"/>
    <sheet name="画面一覧" sheetId="24" r:id="rId3"/>
    <sheet name="イベント一覧" sheetId="26" r:id="rId4"/>
    <sheet name="API一覧" sheetId="23" r:id="rId5"/>
    <sheet name="元データ" sheetId="20" r:id="rId6"/>
    <sheet name="画面・イベント・API紐づけ資料" sheetId="27" r:id="rId7"/>
    <sheet name="API呼び出し画面" sheetId="28" r:id="rId8"/>
    <sheet name="画面遷移図" sheetId="1" r:id="rId9"/>
  </sheets>
  <definedNames>
    <definedName name="_xlnm._FilterDatabase" localSheetId="4" hidden="1">API一覧!$B$4:$G$4</definedName>
    <definedName name="_xlnm._FilterDatabase" localSheetId="3" hidden="1">イベント一覧!$B$4:$I$4</definedName>
    <definedName name="_xlnm._FilterDatabase" localSheetId="2" hidden="1">画面一覧!$B$4:$G$4</definedName>
    <definedName name="_xlnm._FilterDatabase" localSheetId="5" hidden="1">元データ!$B$4:$J$4</definedName>
    <definedName name="_xlnm.Print_Area" localSheetId="4">API一覧!$A$2:$G$35</definedName>
    <definedName name="_xlnm.Print_Area" localSheetId="3">イベント一覧!$A$2:$J$37</definedName>
    <definedName name="_xlnm.Print_Area" localSheetId="2">画面一覧!$A$2:$H$38</definedName>
    <definedName name="_xlnm.Print_Area" localSheetId="8">画面遷移図!$A$1:$BB$123</definedName>
    <definedName name="_xlnm.Print_Area" localSheetId="1">改訂履歴!$A$1:$BB$43</definedName>
    <definedName name="_xlnm.Print_Area" localSheetId="5">元データ!$A$2:$M$38</definedName>
    <definedName name="_xlnm.Print_Area" localSheetId="0">表紙!$A$1:$AG$21</definedName>
  </definedNames>
  <calcPr calcId="191029"/>
  <pivotCaches>
    <pivotCache cacheId="40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4" i="1" l="1"/>
  <c r="H4" i="1"/>
  <c r="T3" i="1"/>
  <c r="H3" i="1"/>
  <c r="T2" i="1"/>
  <c r="H2" i="1"/>
  <c r="N14" i="9"/>
  <c r="AV2" i="8" s="1"/>
  <c r="N11" i="9"/>
  <c r="N10" i="9"/>
  <c r="AM3" i="1" s="1"/>
  <c r="AM4" i="8"/>
  <c r="H3" i="8"/>
  <c r="H4" i="8"/>
  <c r="H2" i="8"/>
  <c r="T3" i="8"/>
  <c r="T4" i="8"/>
  <c r="T2" i="8"/>
  <c r="AM4" i="1"/>
  <c r="N12" i="9" l="1"/>
  <c r="N13" i="9"/>
  <c r="AM3" i="8"/>
  <c r="AV2" i="1"/>
  <c r="AV4" i="8" l="1"/>
  <c r="AV4" i="1"/>
  <c r="AV3" i="8"/>
  <c r="AV3" i="1"/>
</calcChain>
</file>

<file path=xl/sharedStrings.xml><?xml version="1.0" encoding="utf-8"?>
<sst xmlns="http://schemas.openxmlformats.org/spreadsheetml/2006/main" count="806" uniqueCount="324">
  <si>
    <t>システムID</t>
  </si>
  <si>
    <t>システム名</t>
  </si>
  <si>
    <t>サブシステムID</t>
  </si>
  <si>
    <t>-</t>
    <phoneticPr fontId="3"/>
  </si>
  <si>
    <t>サブシステム名</t>
  </si>
  <si>
    <t>機能ID</t>
    <rPh sb="0" eb="2">
      <t>キノウ</t>
    </rPh>
    <phoneticPr fontId="3"/>
  </si>
  <si>
    <t>-</t>
  </si>
  <si>
    <t>機能名</t>
    <rPh sb="0" eb="3">
      <t>キノウメイ</t>
    </rPh>
    <phoneticPr fontId="3"/>
  </si>
  <si>
    <t>作成者</t>
    <rPh sb="0" eb="3">
      <t>サクセイシャ</t>
    </rPh>
    <phoneticPr fontId="3"/>
  </si>
  <si>
    <t>作成日</t>
    <rPh sb="0" eb="3">
      <t>サクセイビ</t>
    </rPh>
    <phoneticPr fontId="3"/>
  </si>
  <si>
    <t>更新者</t>
    <rPh sb="0" eb="2">
      <t>コウシン</t>
    </rPh>
    <rPh sb="2" eb="3">
      <t>シャ</t>
    </rPh>
    <phoneticPr fontId="3"/>
  </si>
  <si>
    <t>更新日</t>
    <rPh sb="0" eb="2">
      <t>コウシン</t>
    </rPh>
    <rPh sb="2" eb="3">
      <t>ビ</t>
    </rPh>
    <phoneticPr fontId="3"/>
  </si>
  <si>
    <t>版数</t>
    <rPh sb="0" eb="2">
      <t>ハンスウ</t>
    </rPh>
    <phoneticPr fontId="3"/>
  </si>
  <si>
    <t>改訂履歴</t>
    <rPh sb="0" eb="2">
      <t>カイテイ</t>
    </rPh>
    <rPh sb="2" eb="4">
      <t>リレキ</t>
    </rPh>
    <phoneticPr fontId="6"/>
  </si>
  <si>
    <t>版数</t>
    <rPh sb="0" eb="2">
      <t>ハンスウ</t>
    </rPh>
    <phoneticPr fontId="6"/>
  </si>
  <si>
    <t>改定日</t>
    <rPh sb="0" eb="3">
      <t>カイテイビ</t>
    </rPh>
    <phoneticPr fontId="6"/>
  </si>
  <si>
    <t>改定シート</t>
    <rPh sb="0" eb="2">
      <t>カイテイ</t>
    </rPh>
    <phoneticPr fontId="6"/>
  </si>
  <si>
    <t>改定内容</t>
    <rPh sb="0" eb="4">
      <t>カイテイナイヨウ</t>
    </rPh>
    <phoneticPr fontId="6"/>
  </si>
  <si>
    <t>担当</t>
    <rPh sb="0" eb="2">
      <t>タントウ</t>
    </rPh>
    <phoneticPr fontId="6"/>
  </si>
  <si>
    <t>全般</t>
    <rPh sb="0" eb="2">
      <t>ゼンパン</t>
    </rPh>
    <phoneticPr fontId="6"/>
  </si>
  <si>
    <t>新規作成</t>
    <rPh sb="0" eb="2">
      <t>シンキ</t>
    </rPh>
    <rPh sb="2" eb="4">
      <t>サクセイ</t>
    </rPh>
    <phoneticPr fontId="6"/>
  </si>
  <si>
    <t>須賀</t>
    <rPh sb="0" eb="2">
      <t>スガ</t>
    </rPh>
    <phoneticPr fontId="6"/>
  </si>
  <si>
    <t>須賀</t>
    <rPh sb="0" eb="2">
      <t>スガ</t>
    </rPh>
    <phoneticPr fontId="3"/>
  </si>
  <si>
    <t>ファイル名</t>
    <rPh sb="4" eb="5">
      <t>メイ</t>
    </rPh>
    <phoneticPr fontId="3"/>
  </si>
  <si>
    <t>備考</t>
    <rPh sb="0" eb="2">
      <t>ビコウ</t>
    </rPh>
    <phoneticPr fontId="3"/>
  </si>
  <si>
    <t>ポータル</t>
  </si>
  <si>
    <t>共通エリア</t>
  </si>
  <si>
    <t>全画面共通のエリア</t>
    <rPh sb="0" eb="3">
      <t>ゼンガメン</t>
    </rPh>
    <rPh sb="3" eb="5">
      <t>キョウツウ</t>
    </rPh>
    <phoneticPr fontId="3"/>
  </si>
  <si>
    <t>ログイン</t>
    <phoneticPr fontId="3"/>
  </si>
  <si>
    <t>ログイン情報を入力する画面</t>
    <rPh sb="4" eb="6">
      <t>ジョウホウ</t>
    </rPh>
    <rPh sb="7" eb="9">
      <t>ニュウリョク</t>
    </rPh>
    <rPh sb="11" eb="13">
      <t>ガメン</t>
    </rPh>
    <phoneticPr fontId="3"/>
  </si>
  <si>
    <t>新規会員登録入力</t>
    <rPh sb="0" eb="2">
      <t>シンキ</t>
    </rPh>
    <rPh sb="2" eb="4">
      <t>カイイン</t>
    </rPh>
    <rPh sb="4" eb="6">
      <t>トウロク</t>
    </rPh>
    <rPh sb="6" eb="8">
      <t>ニュウリョク</t>
    </rPh>
    <phoneticPr fontId="3"/>
  </si>
  <si>
    <t>新規会員情報を入力する画面</t>
    <rPh sb="0" eb="2">
      <t>シンキ</t>
    </rPh>
    <rPh sb="2" eb="4">
      <t>カイイン</t>
    </rPh>
    <rPh sb="4" eb="6">
      <t>ジョウホウ</t>
    </rPh>
    <rPh sb="7" eb="9">
      <t>ニュウリョク</t>
    </rPh>
    <rPh sb="11" eb="13">
      <t>ガメン</t>
    </rPh>
    <phoneticPr fontId="3"/>
  </si>
  <si>
    <t>新規会員登録確認</t>
    <rPh sb="0" eb="2">
      <t>シンキ</t>
    </rPh>
    <rPh sb="2" eb="4">
      <t>カイイン</t>
    </rPh>
    <rPh sb="4" eb="6">
      <t>トウロク</t>
    </rPh>
    <rPh sb="6" eb="8">
      <t>カクニン</t>
    </rPh>
    <phoneticPr fontId="3"/>
  </si>
  <si>
    <t>入力した新規会員情報を確認する画面</t>
    <rPh sb="0" eb="2">
      <t>ニュウリョク</t>
    </rPh>
    <rPh sb="4" eb="6">
      <t>シンキ</t>
    </rPh>
    <rPh sb="6" eb="8">
      <t>カイイン</t>
    </rPh>
    <rPh sb="8" eb="10">
      <t>ジョウホウ</t>
    </rPh>
    <rPh sb="11" eb="13">
      <t>カクニン</t>
    </rPh>
    <rPh sb="15" eb="17">
      <t>ガメン</t>
    </rPh>
    <phoneticPr fontId="3"/>
  </si>
  <si>
    <t>新規会員登録完了</t>
    <rPh sb="0" eb="2">
      <t>シンキ</t>
    </rPh>
    <rPh sb="2" eb="4">
      <t>カイイン</t>
    </rPh>
    <rPh sb="4" eb="6">
      <t>トウロク</t>
    </rPh>
    <rPh sb="6" eb="8">
      <t>カンリョウ</t>
    </rPh>
    <phoneticPr fontId="3"/>
  </si>
  <si>
    <t>新規会員登録完了を表示する画面</t>
    <rPh sb="0" eb="2">
      <t>シンキ</t>
    </rPh>
    <rPh sb="2" eb="4">
      <t>カイイン</t>
    </rPh>
    <rPh sb="4" eb="6">
      <t>トウロク</t>
    </rPh>
    <rPh sb="6" eb="8">
      <t>カンリョウ</t>
    </rPh>
    <rPh sb="9" eb="11">
      <t>ヒョウジ</t>
    </rPh>
    <rPh sb="13" eb="15">
      <t>ガメン</t>
    </rPh>
    <phoneticPr fontId="3"/>
  </si>
  <si>
    <t>パスワード再発行</t>
    <rPh sb="5" eb="8">
      <t>サイハッコウ</t>
    </rPh>
    <phoneticPr fontId="3"/>
  </si>
  <si>
    <t>パスワードを再発行する画面</t>
    <rPh sb="6" eb="9">
      <t>サイハッコウ</t>
    </rPh>
    <rPh sb="11" eb="13">
      <t>ガメン</t>
    </rPh>
    <phoneticPr fontId="3"/>
  </si>
  <si>
    <t>マイメニュー</t>
  </si>
  <si>
    <t>通知一覧</t>
    <rPh sb="0" eb="2">
      <t>ツウチ</t>
    </rPh>
    <rPh sb="2" eb="4">
      <t>イチラン</t>
    </rPh>
    <phoneticPr fontId="3"/>
  </si>
  <si>
    <t>対戦履歴</t>
    <rPh sb="0" eb="2">
      <t>タイセン</t>
    </rPh>
    <rPh sb="2" eb="4">
      <t>リレキ</t>
    </rPh>
    <phoneticPr fontId="3"/>
  </si>
  <si>
    <t>マイデッキ</t>
    <phoneticPr fontId="3"/>
  </si>
  <si>
    <t>マイフレンド</t>
    <phoneticPr fontId="3"/>
  </si>
  <si>
    <t>フレンド一覧と各フレンドとのステータスを表示する画面</t>
    <rPh sb="4" eb="6">
      <t>イチラン</t>
    </rPh>
    <rPh sb="7" eb="8">
      <t>カク</t>
    </rPh>
    <rPh sb="20" eb="22">
      <t>ヒョウジ</t>
    </rPh>
    <rPh sb="24" eb="26">
      <t>ガメン</t>
    </rPh>
    <phoneticPr fontId="3"/>
  </si>
  <si>
    <t>チャット</t>
    <phoneticPr fontId="3"/>
  </si>
  <si>
    <t>各フレンドとのメッセージを表示する画面</t>
    <phoneticPr fontId="3"/>
  </si>
  <si>
    <t>マイプロフィール</t>
    <phoneticPr fontId="3"/>
  </si>
  <si>
    <t>カードデッキ</t>
  </si>
  <si>
    <t>サイトTOP</t>
    <phoneticPr fontId="3"/>
  </si>
  <si>
    <t>画面フロー_ポータル機能</t>
    <rPh sb="0" eb="2">
      <t>ガメン</t>
    </rPh>
    <rPh sb="10" eb="12">
      <t>キノウ</t>
    </rPh>
    <phoneticPr fontId="3"/>
  </si>
  <si>
    <t>画面フロー</t>
    <rPh sb="0" eb="2">
      <t>ガメン</t>
    </rPh>
    <phoneticPr fontId="3"/>
  </si>
  <si>
    <t>◆カードデッキ管理機能</t>
    <rPh sb="7" eb="9">
      <t>カンリ</t>
    </rPh>
    <rPh sb="9" eb="11">
      <t>キノウ</t>
    </rPh>
    <phoneticPr fontId="3"/>
  </si>
  <si>
    <t>◆ポータル機能・マイプロフィール</t>
    <rPh sb="5" eb="7">
      <t>キノウ</t>
    </rPh>
    <phoneticPr fontId="3"/>
  </si>
  <si>
    <t>戻る</t>
    <rPh sb="0" eb="1">
      <t>モド</t>
    </rPh>
    <phoneticPr fontId="3"/>
  </si>
  <si>
    <t>ログインする</t>
    <phoneticPr fontId="3"/>
  </si>
  <si>
    <t>新規登録はこちら</t>
  </si>
  <si>
    <t>ログイン</t>
  </si>
  <si>
    <t>入力内容を確認</t>
    <rPh sb="0" eb="2">
      <t>ニュウリョク</t>
    </rPh>
    <rPh sb="2" eb="4">
      <t>ナイヨウ</t>
    </rPh>
    <rPh sb="5" eb="7">
      <t>カクニン</t>
    </rPh>
    <phoneticPr fontId="3"/>
  </si>
  <si>
    <t>上記の内容で登録</t>
    <rPh sb="0" eb="2">
      <t>ジョウキ</t>
    </rPh>
    <rPh sb="3" eb="5">
      <t>ナイヨウ</t>
    </rPh>
    <rPh sb="6" eb="8">
      <t>トウロク</t>
    </rPh>
    <phoneticPr fontId="3"/>
  </si>
  <si>
    <t>パスワードを忘れた方はこちら</t>
    <rPh sb="6" eb="7">
      <t>ワス</t>
    </rPh>
    <rPh sb="9" eb="10">
      <t>カタ</t>
    </rPh>
    <phoneticPr fontId="3"/>
  </si>
  <si>
    <t>新規会員登録</t>
  </si>
  <si>
    <t>パスワードを再発行する</t>
    <rPh sb="6" eb="9">
      <t>サイハッコウ</t>
    </rPh>
    <phoneticPr fontId="3"/>
  </si>
  <si>
    <t>ロゴ押下時</t>
    <rPh sb="2" eb="4">
      <t>オウカ</t>
    </rPh>
    <rPh sb="4" eb="5">
      <t>ジ</t>
    </rPh>
    <phoneticPr fontId="3"/>
  </si>
  <si>
    <t>カード検索</t>
  </si>
  <si>
    <t>ログイン</t>
    <phoneticPr fontId="3"/>
  </si>
  <si>
    <t>ログアウト</t>
    <phoneticPr fontId="3"/>
  </si>
  <si>
    <t>パスワード再発行完了</t>
    <rPh sb="5" eb="8">
      <t>サイハッコウ</t>
    </rPh>
    <rPh sb="8" eb="10">
      <t>カンリョウ</t>
    </rPh>
    <phoneticPr fontId="3"/>
  </si>
  <si>
    <t>お知らせ・通知一覧</t>
    <rPh sb="1" eb="2">
      <t>シ</t>
    </rPh>
    <rPh sb="5" eb="7">
      <t>ツウチ</t>
    </rPh>
    <rPh sb="7" eb="9">
      <t>イチラン</t>
    </rPh>
    <phoneticPr fontId="3"/>
  </si>
  <si>
    <t>お知らせ・通知詳細</t>
    <rPh sb="1" eb="2">
      <t>シ</t>
    </rPh>
    <rPh sb="5" eb="7">
      <t>ツウチ</t>
    </rPh>
    <rPh sb="7" eb="9">
      <t>ショウサイ</t>
    </rPh>
    <phoneticPr fontId="3"/>
  </si>
  <si>
    <t>通知詳細</t>
    <rPh sb="0" eb="2">
      <t>ツウチ</t>
    </rPh>
    <rPh sb="2" eb="4">
      <t>ショウサイ</t>
    </rPh>
    <phoneticPr fontId="3"/>
  </si>
  <si>
    <t>お知らせ・通知一覧へ戻る</t>
    <rPh sb="1" eb="2">
      <t>シ</t>
    </rPh>
    <rPh sb="5" eb="7">
      <t>ツウチ</t>
    </rPh>
    <rPh sb="7" eb="9">
      <t>イチラン</t>
    </rPh>
    <rPh sb="10" eb="11">
      <t>モド</t>
    </rPh>
    <phoneticPr fontId="3"/>
  </si>
  <si>
    <t>マイメニューへ戻る</t>
    <rPh sb="7" eb="8">
      <t>モド</t>
    </rPh>
    <phoneticPr fontId="3"/>
  </si>
  <si>
    <t>対戦履歴詳細</t>
    <rPh sb="0" eb="2">
      <t>タイセン</t>
    </rPh>
    <rPh sb="2" eb="4">
      <t>リレキ</t>
    </rPh>
    <rPh sb="4" eb="6">
      <t>ショウサイ</t>
    </rPh>
    <phoneticPr fontId="3"/>
  </si>
  <si>
    <t>対戦履歴一覧</t>
    <rPh sb="0" eb="2">
      <t>タイセン</t>
    </rPh>
    <rPh sb="2" eb="4">
      <t>リレキ</t>
    </rPh>
    <rPh sb="4" eb="6">
      <t>イチラン</t>
    </rPh>
    <phoneticPr fontId="3"/>
  </si>
  <si>
    <t>新規フレンド追加</t>
    <rPh sb="0" eb="2">
      <t>シンキ</t>
    </rPh>
    <rPh sb="6" eb="8">
      <t>ツイカ</t>
    </rPh>
    <phoneticPr fontId="3"/>
  </si>
  <si>
    <t>フレンド追加</t>
    <rPh sb="4" eb="6">
      <t>ツイカ</t>
    </rPh>
    <phoneticPr fontId="3"/>
  </si>
  <si>
    <t>マイプロフィールを表示、編集する画面</t>
    <rPh sb="9" eb="11">
      <t>ヒョウジ</t>
    </rPh>
    <rPh sb="12" eb="14">
      <t>ヘンシュウ</t>
    </rPh>
    <rPh sb="16" eb="18">
      <t>ガメン</t>
    </rPh>
    <phoneticPr fontId="3"/>
  </si>
  <si>
    <t>お知らせ・通知を確認する</t>
  </si>
  <si>
    <t>該当通知を選択</t>
    <rPh sb="0" eb="2">
      <t>ガイトウ</t>
    </rPh>
    <rPh sb="2" eb="4">
      <t>ツウチ</t>
    </rPh>
    <rPh sb="5" eb="7">
      <t>センタク</t>
    </rPh>
    <phoneticPr fontId="3"/>
  </si>
  <si>
    <t>対戦履歴を確認する</t>
    <rPh sb="0" eb="2">
      <t>タイセン</t>
    </rPh>
    <rPh sb="2" eb="4">
      <t>リレキ</t>
    </rPh>
    <rPh sb="5" eb="7">
      <t>カクニン</t>
    </rPh>
    <phoneticPr fontId="3"/>
  </si>
  <si>
    <t>該当履歴を選択</t>
  </si>
  <si>
    <t>対戦履歴一覧へ戻る</t>
    <rPh sb="0" eb="2">
      <t>タイセン</t>
    </rPh>
    <rPh sb="2" eb="4">
      <t>リレキ</t>
    </rPh>
    <rPh sb="4" eb="6">
      <t>イチラン</t>
    </rPh>
    <rPh sb="7" eb="8">
      <t>モド</t>
    </rPh>
    <phoneticPr fontId="3"/>
  </si>
  <si>
    <t>マイメニューへ戻る</t>
    <rPh sb="7" eb="8">
      <t>モド</t>
    </rPh>
    <phoneticPr fontId="3"/>
  </si>
  <si>
    <t>マイデッキを確認する</t>
    <rPh sb="6" eb="8">
      <t>カクニン</t>
    </rPh>
    <phoneticPr fontId="3"/>
  </si>
  <si>
    <t>マイデッキ</t>
  </si>
  <si>
    <t>該当デッキを選択</t>
    <rPh sb="0" eb="2">
      <t>ガイトウ</t>
    </rPh>
    <rPh sb="6" eb="8">
      <t>センタク</t>
    </rPh>
    <phoneticPr fontId="3"/>
  </si>
  <si>
    <t>※デッキ詳細</t>
    <rPh sb="4" eb="6">
      <t>ショウサイ</t>
    </rPh>
    <phoneticPr fontId="3"/>
  </si>
  <si>
    <t>マイフレンド</t>
  </si>
  <si>
    <t>マイフレンドを確認する</t>
    <rPh sb="7" eb="9">
      <t>カクニン</t>
    </rPh>
    <phoneticPr fontId="3"/>
  </si>
  <si>
    <t>該当フレンドを選択</t>
  </si>
  <si>
    <t>該当フレンドを選択</t>
    <rPh sb="0" eb="2">
      <t>ガイトウ</t>
    </rPh>
    <rPh sb="7" eb="9">
      <t>センタク</t>
    </rPh>
    <phoneticPr fontId="3"/>
  </si>
  <si>
    <t>※チャット画面にリダイレクト</t>
    <rPh sb="5" eb="7">
      <t>ガメン</t>
    </rPh>
    <phoneticPr fontId="3"/>
  </si>
  <si>
    <t>マイフレンドへ戻る</t>
    <rPh sb="7" eb="8">
      <t>モド</t>
    </rPh>
    <phoneticPr fontId="3"/>
  </si>
  <si>
    <t>フレンドを追加する</t>
    <rPh sb="5" eb="7">
      <t>ツイカ</t>
    </rPh>
    <phoneticPr fontId="3"/>
  </si>
  <si>
    <t>マイプロフィールを変更する</t>
    <rPh sb="9" eb="11">
      <t>ヘンコウ</t>
    </rPh>
    <phoneticPr fontId="3"/>
  </si>
  <si>
    <t>マイプロフィール編集する</t>
    <rPh sb="8" eb="10">
      <t>ヘンシュウ</t>
    </rPh>
    <phoneticPr fontId="3"/>
  </si>
  <si>
    <t>マイプロフィール</t>
  </si>
  <si>
    <t>対戦履歴</t>
  </si>
  <si>
    <t>お知らせ</t>
  </si>
  <si>
    <t>該当カードを選択</t>
    <rPh sb="0" eb="2">
      <t>ガイトウ</t>
    </rPh>
    <rPh sb="6" eb="8">
      <t>センタク</t>
    </rPh>
    <phoneticPr fontId="3"/>
  </si>
  <si>
    <t>カード一覧</t>
    <rPh sb="3" eb="5">
      <t>イチラン</t>
    </rPh>
    <phoneticPr fontId="3"/>
  </si>
  <si>
    <t>カード詳細</t>
    <rPh sb="3" eb="5">
      <t>ショウサイ</t>
    </rPh>
    <phoneticPr fontId="3"/>
  </si>
  <si>
    <t>ログインユーザー用TOPページ</t>
    <rPh sb="8" eb="9">
      <t>ヨウ</t>
    </rPh>
    <phoneticPr fontId="3"/>
  </si>
  <si>
    <t>サイトTOP、サイト初期表示時このページが呼ばれる</t>
    <rPh sb="10" eb="14">
      <t>ショキヒョウジ</t>
    </rPh>
    <rPh sb="14" eb="15">
      <t>ジ</t>
    </rPh>
    <rPh sb="21" eb="22">
      <t>ヨ</t>
    </rPh>
    <phoneticPr fontId="3"/>
  </si>
  <si>
    <t>◆ポータル_アカウント系</t>
    <rPh sb="11" eb="12">
      <t>ケイ</t>
    </rPh>
    <phoneticPr fontId="3"/>
  </si>
  <si>
    <t>◆ポータル_マイメニュー</t>
    <phoneticPr fontId="3"/>
  </si>
  <si>
    <t>画面一覧</t>
    <rPh sb="0" eb="2">
      <t>ガメン</t>
    </rPh>
    <rPh sb="2" eb="4">
      <t>イチラン</t>
    </rPh>
    <phoneticPr fontId="6"/>
  </si>
  <si>
    <t>画面遷移図</t>
    <rPh sb="0" eb="2">
      <t>ガメン</t>
    </rPh>
    <rPh sb="2" eb="5">
      <t>センイズ</t>
    </rPh>
    <phoneticPr fontId="6"/>
  </si>
  <si>
    <t>ポータル機能分作成</t>
    <rPh sb="4" eb="6">
      <t>キノウ</t>
    </rPh>
    <rPh sb="6" eb="7">
      <t>ブン</t>
    </rPh>
    <rPh sb="7" eb="9">
      <t>サクセイ</t>
    </rPh>
    <phoneticPr fontId="6"/>
  </si>
  <si>
    <t>画面一覧、画面遷移図</t>
    <rPh sb="0" eb="2">
      <t>ガメン</t>
    </rPh>
    <rPh sb="2" eb="4">
      <t>イチラン</t>
    </rPh>
    <rPh sb="5" eb="7">
      <t>ガメン</t>
    </rPh>
    <rPh sb="7" eb="10">
      <t>センイズ</t>
    </rPh>
    <phoneticPr fontId="6"/>
  </si>
  <si>
    <t>ポータル機能分更新</t>
    <rPh sb="4" eb="6">
      <t>キノウ</t>
    </rPh>
    <rPh sb="6" eb="7">
      <t>ブン</t>
    </rPh>
    <rPh sb="7" eb="9">
      <t>コウシン</t>
    </rPh>
    <phoneticPr fontId="6"/>
  </si>
  <si>
    <t>表紙、機能一覧</t>
    <rPh sb="0" eb="2">
      <t>ヒョウシ</t>
    </rPh>
    <rPh sb="3" eb="5">
      <t>キノウ</t>
    </rPh>
    <rPh sb="5" eb="7">
      <t>イチラン</t>
    </rPh>
    <phoneticPr fontId="6"/>
  </si>
  <si>
    <t>画面遷移図⇒機能関連図に修正
画面一覧⇒機能一覧に修正</t>
    <rPh sb="0" eb="2">
      <t>ガメン</t>
    </rPh>
    <rPh sb="2" eb="5">
      <t>センイズ</t>
    </rPh>
    <rPh sb="6" eb="8">
      <t>キノウ</t>
    </rPh>
    <rPh sb="8" eb="11">
      <t>カンレンズ</t>
    </rPh>
    <rPh sb="12" eb="14">
      <t>シュウセイ</t>
    </rPh>
    <rPh sb="15" eb="17">
      <t>ガメン</t>
    </rPh>
    <rPh sb="17" eb="19">
      <t>イチラン</t>
    </rPh>
    <rPh sb="20" eb="22">
      <t>キノウ</t>
    </rPh>
    <rPh sb="22" eb="24">
      <t>イチラン</t>
    </rPh>
    <rPh sb="25" eb="27">
      <t>シュウセイ</t>
    </rPh>
    <phoneticPr fontId="6"/>
  </si>
  <si>
    <t>業務分類</t>
    <rPh sb="0" eb="2">
      <t>ギョウム</t>
    </rPh>
    <rPh sb="2" eb="4">
      <t>ブンルイ</t>
    </rPh>
    <phoneticPr fontId="3"/>
  </si>
  <si>
    <t>機能分類</t>
    <rPh sb="0" eb="2">
      <t>キノウ</t>
    </rPh>
    <rPh sb="2" eb="4">
      <t>ブンルイ</t>
    </rPh>
    <phoneticPr fontId="3"/>
  </si>
  <si>
    <t>画面</t>
    <rPh sb="0" eb="2">
      <t>ガメン</t>
    </rPh>
    <phoneticPr fontId="3"/>
  </si>
  <si>
    <t>API</t>
    <phoneticPr fontId="3"/>
  </si>
  <si>
    <t>ポータル</t>
    <phoneticPr fontId="3"/>
  </si>
  <si>
    <t>ユーザー取得API</t>
    <rPh sb="4" eb="6">
      <t>シュトク</t>
    </rPh>
    <phoneticPr fontId="3"/>
  </si>
  <si>
    <t>ユーザー情報をDBから取得するAPI</t>
    <rPh sb="4" eb="6">
      <t>ジョウホウ</t>
    </rPh>
    <rPh sb="11" eb="13">
      <t>シュトク</t>
    </rPh>
    <phoneticPr fontId="3"/>
  </si>
  <si>
    <t>カード検索用リスト取得API</t>
    <rPh sb="3" eb="5">
      <t>ケンサク</t>
    </rPh>
    <rPh sb="5" eb="6">
      <t>ヨウ</t>
    </rPh>
    <rPh sb="9" eb="11">
      <t>シュトク</t>
    </rPh>
    <phoneticPr fontId="3"/>
  </si>
  <si>
    <t>カード検索用のプルダウンのリストを取得するAPI</t>
    <rPh sb="3" eb="6">
      <t>ケンサクヨウ</t>
    </rPh>
    <rPh sb="17" eb="19">
      <t>シュトク</t>
    </rPh>
    <phoneticPr fontId="3"/>
  </si>
  <si>
    <t>機能一覧・画面遷移図</t>
    <rPh sb="0" eb="2">
      <t>キノウ</t>
    </rPh>
    <rPh sb="2" eb="4">
      <t>イチラン</t>
    </rPh>
    <rPh sb="5" eb="7">
      <t>ガメン</t>
    </rPh>
    <rPh sb="7" eb="10">
      <t>センイズ</t>
    </rPh>
    <phoneticPr fontId="3"/>
  </si>
  <si>
    <t>画面一覧</t>
    <rPh sb="0" eb="2">
      <t>ガメン</t>
    </rPh>
    <rPh sb="2" eb="4">
      <t>イチラン</t>
    </rPh>
    <phoneticPr fontId="3"/>
  </si>
  <si>
    <t>BSPS</t>
  </si>
  <si>
    <t>BSPSFRPK01</t>
  </si>
  <si>
    <t>BSPSFRPK01.jsp</t>
  </si>
  <si>
    <t>BSPSFRPK02</t>
  </si>
  <si>
    <t>BSPSFRPK03</t>
  </si>
  <si>
    <t>BSPSFRPK04</t>
  </si>
  <si>
    <t>BSPSFRPK05</t>
  </si>
  <si>
    <t>BSPSFRPK06</t>
  </si>
  <si>
    <t>BSPSFRPK07</t>
  </si>
  <si>
    <t>BSPSFRPK08</t>
  </si>
  <si>
    <t>BSPSFRPK09</t>
  </si>
  <si>
    <t>BSPSFRPK10</t>
  </si>
  <si>
    <t>BSPSFRPK11</t>
  </si>
  <si>
    <t>BSPSFRPK12</t>
  </si>
  <si>
    <t>BSPSFRPK13</t>
  </si>
  <si>
    <t>BSPSFRPK14</t>
  </si>
  <si>
    <t>BSPSFRPK15</t>
  </si>
  <si>
    <t>BSPSFRPK16</t>
  </si>
  <si>
    <t>BSPSFRPK17</t>
  </si>
  <si>
    <t>BSPSFRCD01</t>
  </si>
  <si>
    <t>BSPSFRCD02</t>
  </si>
  <si>
    <t>BSPSFRCD03</t>
  </si>
  <si>
    <t>BSPSAPPK01</t>
  </si>
  <si>
    <t>BSPSAPCD01</t>
  </si>
  <si>
    <t>BSPSFRPK01_共通エリア</t>
    <rPh sb="11" eb="13">
      <t>キョウツウ</t>
    </rPh>
    <phoneticPr fontId="3"/>
  </si>
  <si>
    <t>BSPSFRPK03_新規会員登録</t>
    <rPh sb="11" eb="13">
      <t>シンキ</t>
    </rPh>
    <rPh sb="13" eb="15">
      <t>カイイン</t>
    </rPh>
    <rPh sb="15" eb="17">
      <t>トウロク</t>
    </rPh>
    <phoneticPr fontId="3"/>
  </si>
  <si>
    <t>BSPSFRPPK04_新規会員登確認</t>
    <rPh sb="12" eb="14">
      <t>シンキ</t>
    </rPh>
    <rPh sb="14" eb="16">
      <t>カイイン</t>
    </rPh>
    <rPh sb="16" eb="17">
      <t>ノボル</t>
    </rPh>
    <rPh sb="17" eb="19">
      <t>カクニン</t>
    </rPh>
    <phoneticPr fontId="3"/>
  </si>
  <si>
    <t>BSPSFRPPK05_新規会員登完了</t>
    <rPh sb="12" eb="14">
      <t>シンキ</t>
    </rPh>
    <rPh sb="14" eb="16">
      <t>カイイン</t>
    </rPh>
    <rPh sb="16" eb="17">
      <t>ノボル</t>
    </rPh>
    <rPh sb="17" eb="19">
      <t>カンリョウ</t>
    </rPh>
    <phoneticPr fontId="3"/>
  </si>
  <si>
    <t>BSPSFRPK02_ログイン</t>
  </si>
  <si>
    <t>BSPSFRPK06_パスワード再発行</t>
  </si>
  <si>
    <t>BSPSFRPK07_パスワード再発行完了</t>
    <rPh sb="19" eb="21">
      <t>カンリョウ</t>
    </rPh>
    <phoneticPr fontId="3"/>
  </si>
  <si>
    <t>BSPSFRPK08_マイメニュー</t>
  </si>
  <si>
    <t>BSPSFRPK09_お知らせ・通知一覧</t>
    <rPh sb="12" eb="13">
      <t>シ</t>
    </rPh>
    <rPh sb="16" eb="18">
      <t>ツウチ</t>
    </rPh>
    <rPh sb="18" eb="20">
      <t>イチラン</t>
    </rPh>
    <phoneticPr fontId="3"/>
  </si>
  <si>
    <t>BSPSFRPK10_お知らせ・通知詳細</t>
    <rPh sb="12" eb="13">
      <t>シ</t>
    </rPh>
    <rPh sb="16" eb="18">
      <t>ツウチ</t>
    </rPh>
    <rPh sb="18" eb="20">
      <t>ショウサイ</t>
    </rPh>
    <phoneticPr fontId="3"/>
  </si>
  <si>
    <t>BSPSFRPK11_対戦履歴一覧</t>
    <rPh sb="15" eb="17">
      <t>イチラン</t>
    </rPh>
    <phoneticPr fontId="3"/>
  </si>
  <si>
    <t>BSPSFRPK12_対戦履歴詳細</t>
    <rPh sb="15" eb="17">
      <t>ショウサイ</t>
    </rPh>
    <phoneticPr fontId="3"/>
  </si>
  <si>
    <t>BSPSFRPK13_マイデッキ</t>
  </si>
  <si>
    <t>BSPSFRPK14_マイフレンド</t>
  </si>
  <si>
    <t>BSPSFRPK15_チャット</t>
  </si>
  <si>
    <t>BSPSFRPK16_フレンド追加</t>
  </si>
  <si>
    <t>BSPSFRPK17_マイプロフィール</t>
  </si>
  <si>
    <t>BSPSFRCD01_サイトTOP</t>
  </si>
  <si>
    <t>BSPSFRCD02_カード一覧</t>
    <rPh sb="14" eb="16">
      <t>イチラン</t>
    </rPh>
    <phoneticPr fontId="3"/>
  </si>
  <si>
    <t>BSPSFRCD03_カード詳細</t>
    <rPh sb="14" eb="16">
      <t>ショウサイ</t>
    </rPh>
    <phoneticPr fontId="3"/>
  </si>
  <si>
    <t>バトルシミレーションポータルサイト</t>
    <phoneticPr fontId="3"/>
  </si>
  <si>
    <t>画面・処理・API紐づけ資料</t>
    <rPh sb="0" eb="2">
      <t>ガメン</t>
    </rPh>
    <rPh sb="3" eb="5">
      <t>ショリ</t>
    </rPh>
    <rPh sb="9" eb="10">
      <t>ヒモ</t>
    </rPh>
    <rPh sb="12" eb="14">
      <t>シリョウ</t>
    </rPh>
    <phoneticPr fontId="3"/>
  </si>
  <si>
    <t>画面間/画面内</t>
    <rPh sb="0" eb="2">
      <t>ガメン</t>
    </rPh>
    <rPh sb="2" eb="3">
      <t>カン</t>
    </rPh>
    <rPh sb="4" eb="6">
      <t>ガメン</t>
    </rPh>
    <rPh sb="6" eb="7">
      <t>ナイ</t>
    </rPh>
    <phoneticPr fontId="3"/>
  </si>
  <si>
    <t>イベントID</t>
    <phoneticPr fontId="3"/>
  </si>
  <si>
    <t>イベント名</t>
    <rPh sb="4" eb="5">
      <t>メイ</t>
    </rPh>
    <phoneticPr fontId="3"/>
  </si>
  <si>
    <t>呼び出し条件</t>
    <rPh sb="0" eb="1">
      <t>ヨ</t>
    </rPh>
    <rPh sb="2" eb="3">
      <t>ダ</t>
    </rPh>
    <rPh sb="4" eb="6">
      <t>ジョウケン</t>
    </rPh>
    <phoneticPr fontId="3"/>
  </si>
  <si>
    <t>処理概要</t>
    <rPh sb="0" eb="4">
      <t>ショリガイヨウ</t>
    </rPh>
    <phoneticPr fontId="3"/>
  </si>
  <si>
    <t>遷移先画面</t>
    <rPh sb="0" eb="3">
      <t>センイサキ</t>
    </rPh>
    <rPh sb="3" eb="5">
      <t>ガメン</t>
    </rPh>
    <phoneticPr fontId="3"/>
  </si>
  <si>
    <t>呼び出し処理名</t>
    <rPh sb="0" eb="1">
      <t>ヨ</t>
    </rPh>
    <rPh sb="2" eb="3">
      <t>ダ</t>
    </rPh>
    <rPh sb="4" eb="6">
      <t>ショリ</t>
    </rPh>
    <rPh sb="6" eb="7">
      <t>メイ</t>
    </rPh>
    <phoneticPr fontId="3"/>
  </si>
  <si>
    <t>画面間</t>
    <rPh sb="0" eb="2">
      <t>ガメン</t>
    </rPh>
    <rPh sb="2" eb="3">
      <t>カン</t>
    </rPh>
    <phoneticPr fontId="3"/>
  </si>
  <si>
    <t>BSPSFRPK01_BS01</t>
    <phoneticPr fontId="3"/>
  </si>
  <si>
    <t>共通エリア初期表示</t>
    <rPh sb="0" eb="2">
      <t>キョウツウ</t>
    </rPh>
    <rPh sb="5" eb="9">
      <t>ショキヒョウジ</t>
    </rPh>
    <phoneticPr fontId="3"/>
  </si>
  <si>
    <t>本画面にリダイレクト遷移した時</t>
    <rPh sb="14" eb="15">
      <t>トキ</t>
    </rPh>
    <phoneticPr fontId="3"/>
  </si>
  <si>
    <t>「BSPSBCPK0101_共通エリア初期表示」を呼び出す。</t>
    <rPh sb="25" eb="26">
      <t>ヨ</t>
    </rPh>
    <rPh sb="27" eb="28">
      <t>ダ</t>
    </rPh>
    <phoneticPr fontId="3"/>
  </si>
  <si>
    <t>BSPSBCPK01_B01_共通エリア初期表示</t>
  </si>
  <si>
    <t>カード検索用リスト取得API</t>
  </si>
  <si>
    <t>BSPSFRPK01_BS02</t>
  </si>
  <si>
    <t>サイトTOP遷移</t>
    <rPh sb="6" eb="8">
      <t>センイ</t>
    </rPh>
    <phoneticPr fontId="3"/>
  </si>
  <si>
    <t>サイトロゴ押下時</t>
    <rPh sb="5" eb="7">
      <t>オウカ</t>
    </rPh>
    <rPh sb="7" eb="8">
      <t>ジ</t>
    </rPh>
    <phoneticPr fontId="3"/>
  </si>
  <si>
    <t>サイトTOP画面へリダイレクトする。</t>
    <rPh sb="6" eb="8">
      <t>ガメン</t>
    </rPh>
    <phoneticPr fontId="3"/>
  </si>
  <si>
    <t>BSPSFRPK01_B02_サイトTOP遷移</t>
    <rPh sb="21" eb="23">
      <t>センイ</t>
    </rPh>
    <phoneticPr fontId="3"/>
  </si>
  <si>
    <t>BSPSFRPK01_BS03</t>
  </si>
  <si>
    <t>ログイン遷移</t>
    <rPh sb="4" eb="6">
      <t>センイ</t>
    </rPh>
    <phoneticPr fontId="3"/>
  </si>
  <si>
    <t>ログインボタン押下時</t>
    <rPh sb="7" eb="9">
      <t>オウカ</t>
    </rPh>
    <rPh sb="9" eb="10">
      <t>ジ</t>
    </rPh>
    <phoneticPr fontId="3"/>
  </si>
  <si>
    <t>ログイン画面へリダイレクトする。</t>
    <phoneticPr fontId="3"/>
  </si>
  <si>
    <t>BSPSFRPK01_B03_ログイン遷移</t>
  </si>
  <si>
    <t>BSPSFRPK01_BS04</t>
  </si>
  <si>
    <t>マイメニュー遷移</t>
    <rPh sb="6" eb="8">
      <t>センイ</t>
    </rPh>
    <phoneticPr fontId="3"/>
  </si>
  <si>
    <t>マイメニュー押下時</t>
    <rPh sb="6" eb="8">
      <t>オウカ</t>
    </rPh>
    <rPh sb="8" eb="9">
      <t>ジ</t>
    </rPh>
    <phoneticPr fontId="3"/>
  </si>
  <si>
    <t>マイメニュー初期表示処理を呼び出す。</t>
    <rPh sb="6" eb="10">
      <t>ショキヒョウジ</t>
    </rPh>
    <rPh sb="10" eb="12">
      <t>ショリ</t>
    </rPh>
    <rPh sb="13" eb="14">
      <t>ヨ</t>
    </rPh>
    <rPh sb="15" eb="16">
      <t>ダ</t>
    </rPh>
    <phoneticPr fontId="3"/>
  </si>
  <si>
    <t>マイメニュー</t>
    <phoneticPr fontId="3"/>
  </si>
  <si>
    <t>BSPSFRPK01_BS05</t>
  </si>
  <si>
    <t>お知らせ遷移</t>
    <rPh sb="1" eb="2">
      <t>シ</t>
    </rPh>
    <rPh sb="4" eb="6">
      <t>センイ</t>
    </rPh>
    <phoneticPr fontId="3"/>
  </si>
  <si>
    <t>お知らせ押下時</t>
    <rPh sb="1" eb="2">
      <t>シ</t>
    </rPh>
    <rPh sb="4" eb="6">
      <t>オウカ</t>
    </rPh>
    <rPh sb="6" eb="7">
      <t>ジ</t>
    </rPh>
    <phoneticPr fontId="3"/>
  </si>
  <si>
    <t>お知らせ初期表示処理を呼び出す</t>
    <rPh sb="1" eb="2">
      <t>シ</t>
    </rPh>
    <rPh sb="4" eb="8">
      <t>ショキヒョウジ</t>
    </rPh>
    <rPh sb="8" eb="10">
      <t>ショリ</t>
    </rPh>
    <rPh sb="11" eb="12">
      <t>ヨ</t>
    </rPh>
    <rPh sb="13" eb="14">
      <t>ダ</t>
    </rPh>
    <phoneticPr fontId="3"/>
  </si>
  <si>
    <t>お知らせ・通知一覧</t>
    <rPh sb="1" eb="2">
      <t>シ</t>
    </rPh>
    <rPh sb="5" eb="7">
      <t>ツウチ</t>
    </rPh>
    <rPh sb="7" eb="9">
      <t>イチラン</t>
    </rPh>
    <phoneticPr fontId="3"/>
  </si>
  <si>
    <t>BSPSFRPK01_BS06</t>
  </si>
  <si>
    <t>マイデッキ遷移</t>
    <rPh sb="5" eb="7">
      <t>センイ</t>
    </rPh>
    <phoneticPr fontId="3"/>
  </si>
  <si>
    <t>マイデッキ押下時</t>
    <rPh sb="5" eb="7">
      <t>オウカ</t>
    </rPh>
    <rPh sb="7" eb="8">
      <t>ジ</t>
    </rPh>
    <phoneticPr fontId="3"/>
  </si>
  <si>
    <t>マイデッキ画面へリダイレクトする。</t>
    <phoneticPr fontId="3"/>
  </si>
  <si>
    <t>マイデッキ</t>
    <phoneticPr fontId="3"/>
  </si>
  <si>
    <t>BSPSFRPK01_BS07</t>
  </si>
  <si>
    <t>対戦履歴遷移</t>
    <rPh sb="0" eb="2">
      <t>タイセン</t>
    </rPh>
    <rPh sb="2" eb="4">
      <t>リレキ</t>
    </rPh>
    <rPh sb="4" eb="6">
      <t>センイ</t>
    </rPh>
    <phoneticPr fontId="3"/>
  </si>
  <si>
    <t>対戦履歴押下時</t>
    <rPh sb="0" eb="2">
      <t>タイセン</t>
    </rPh>
    <rPh sb="2" eb="4">
      <t>リレキ</t>
    </rPh>
    <rPh sb="4" eb="6">
      <t>オウカ</t>
    </rPh>
    <rPh sb="6" eb="7">
      <t>ジ</t>
    </rPh>
    <phoneticPr fontId="3"/>
  </si>
  <si>
    <t>対戦履歴画面へリダイレクトする。</t>
    <rPh sb="0" eb="2">
      <t>タイセン</t>
    </rPh>
    <rPh sb="2" eb="4">
      <t>リレキ</t>
    </rPh>
    <phoneticPr fontId="3"/>
  </si>
  <si>
    <t>対戦履歴一覧</t>
    <rPh sb="0" eb="2">
      <t>タイセン</t>
    </rPh>
    <rPh sb="2" eb="4">
      <t>リレキ</t>
    </rPh>
    <rPh sb="4" eb="6">
      <t>イチラン</t>
    </rPh>
    <phoneticPr fontId="3"/>
  </si>
  <si>
    <t>BSPSFRPK01_BS08</t>
  </si>
  <si>
    <t>マイフレンド遷移</t>
    <rPh sb="6" eb="8">
      <t>センイ</t>
    </rPh>
    <phoneticPr fontId="3"/>
  </si>
  <si>
    <t>マイフレンド押下時</t>
    <rPh sb="6" eb="8">
      <t>オウカ</t>
    </rPh>
    <rPh sb="8" eb="9">
      <t>ジ</t>
    </rPh>
    <phoneticPr fontId="3"/>
  </si>
  <si>
    <t>マイフレンド画面へリダイレクトする。</t>
    <phoneticPr fontId="3"/>
  </si>
  <si>
    <t>マイフレンド一覧</t>
    <rPh sb="6" eb="8">
      <t>イチラン</t>
    </rPh>
    <phoneticPr fontId="3"/>
  </si>
  <si>
    <t>BSPSFRPK01_BS09</t>
  </si>
  <si>
    <t>マイプロフィール遷移</t>
    <rPh sb="8" eb="10">
      <t>センイ</t>
    </rPh>
    <phoneticPr fontId="3"/>
  </si>
  <si>
    <t>マイプロフィール押下時</t>
    <rPh sb="8" eb="10">
      <t>オウカ</t>
    </rPh>
    <rPh sb="10" eb="11">
      <t>ジ</t>
    </rPh>
    <phoneticPr fontId="3"/>
  </si>
  <si>
    <t>マイプロフィール画面へリダイレクトする。</t>
    <phoneticPr fontId="3"/>
  </si>
  <si>
    <t>マイプロフィール</t>
    <phoneticPr fontId="3"/>
  </si>
  <si>
    <t>BSPSFRPK01_BS10</t>
  </si>
  <si>
    <t>ログアウト押下時</t>
    <rPh sb="5" eb="8">
      <t>オウカジ</t>
    </rPh>
    <phoneticPr fontId="3"/>
  </si>
  <si>
    <t xml:space="preserve">「BSPSBCPK0102_ログアウト処理」を呼び出す。
※セッションをすべて破棄し、
ログイン画面へリダイレクトする。
</t>
    <rPh sb="19" eb="21">
      <t>ショリ</t>
    </rPh>
    <phoneticPr fontId="3"/>
  </si>
  <si>
    <t>ログアウト</t>
    <phoneticPr fontId="3"/>
  </si>
  <si>
    <t>BSPSFRPK01_BS11</t>
  </si>
  <si>
    <t>カード検索</t>
    <rPh sb="3" eb="5">
      <t>ケンサク</t>
    </rPh>
    <phoneticPr fontId="3"/>
  </si>
  <si>
    <t>カード検索押下時</t>
    <rPh sb="2" eb="4">
      <t>ケンサク</t>
    </rPh>
    <rPh sb="4" eb="6">
      <t>オウカ</t>
    </rPh>
    <rPh sb="6" eb="7">
      <t>ジ</t>
    </rPh>
    <phoneticPr fontId="3"/>
  </si>
  <si>
    <t xml:space="preserve">「BSPSFRPK0103_カード検索処理」を呼び出す。
※セッションをすべて破棄し、
ログイン画面へリダイレクトする。
</t>
    <rPh sb="23" eb="24">
      <t>ヨ</t>
    </rPh>
    <rPh sb="25" eb="26">
      <t>ダ</t>
    </rPh>
    <phoneticPr fontId="3"/>
  </si>
  <si>
    <t>カード一覧</t>
    <rPh sb="3" eb="5">
      <t>イチラン</t>
    </rPh>
    <phoneticPr fontId="3"/>
  </si>
  <si>
    <t>画面内</t>
    <rPh sb="0" eb="2">
      <t>ガメン</t>
    </rPh>
    <rPh sb="2" eb="3">
      <t>ナイ</t>
    </rPh>
    <phoneticPr fontId="3"/>
  </si>
  <si>
    <t>BSPSFRPK01_IS01</t>
  </si>
  <si>
    <t>ユーザーメニューを表示/非表示</t>
    <rPh sb="9" eb="11">
      <t>ヒョウジ</t>
    </rPh>
    <rPh sb="12" eb="15">
      <t>ヒヒョウジ</t>
    </rPh>
    <phoneticPr fontId="3"/>
  </si>
  <si>
    <t>ユーザー名押下時</t>
    <rPh sb="4" eb="5">
      <t>メイ</t>
    </rPh>
    <rPh sb="5" eb="7">
      <t>オウカ</t>
    </rPh>
    <rPh sb="7" eb="8">
      <t>ジ</t>
    </rPh>
    <phoneticPr fontId="3"/>
  </si>
  <si>
    <t>①ユーザー名ボタンを押下した時、以下項目を表示する。
1-4.対戦履歴
1-5.フレンド
1-6.プロフィール情報
1-7.ログアウト
②再度、ユーザー名を押下した時、上記項目を非表示にする。</t>
    <phoneticPr fontId="3"/>
  </si>
  <si>
    <t>API処理一覧</t>
    <rPh sb="3" eb="5">
      <t>ショリ</t>
    </rPh>
    <rPh sb="5" eb="7">
      <t>イチラン</t>
    </rPh>
    <phoneticPr fontId="3"/>
  </si>
  <si>
    <t>イベント一覧</t>
    <rPh sb="4" eb="6">
      <t>イチラン</t>
    </rPh>
    <phoneticPr fontId="3"/>
  </si>
  <si>
    <t>ファイル名</t>
  </si>
  <si>
    <t>BSPSFRPK01_BS01</t>
  </si>
  <si>
    <t>BSPSFRPK01_BS01.servlet</t>
    <phoneticPr fontId="3"/>
  </si>
  <si>
    <t>BSPSFRPK02.jsp</t>
  </si>
  <si>
    <t>BSPSFRPK03.jsp</t>
  </si>
  <si>
    <t>BSPSFRPK04.jsp</t>
  </si>
  <si>
    <t>BSPSFRPK05.jsp</t>
  </si>
  <si>
    <t>BSPSFRPK06.jsp</t>
  </si>
  <si>
    <t>BSPSFRPK07.jsp</t>
  </si>
  <si>
    <t>BSPSFRPK08.jsp</t>
  </si>
  <si>
    <t>BSPSFRPK09.jsp</t>
  </si>
  <si>
    <t>BSPSFRPK10.jsp</t>
  </si>
  <si>
    <t>BSPSFRPK11.jsp</t>
  </si>
  <si>
    <t>BSPSFRPK12.jsp</t>
  </si>
  <si>
    <t>BSPSFRPK13.jsp</t>
  </si>
  <si>
    <t>BSPSFRPK14.jsp</t>
  </si>
  <si>
    <t>BSPSFRPK15.jsp</t>
  </si>
  <si>
    <t>BSPSFRPK16.jsp</t>
  </si>
  <si>
    <t>BSPSFRPK17.jsp</t>
  </si>
  <si>
    <t>BSPSFRCD01.jsp</t>
  </si>
  <si>
    <t>BSPSFRCD02.jsp</t>
  </si>
  <si>
    <t>BSPSFRCD03.jsp</t>
  </si>
  <si>
    <t>APIID</t>
  </si>
  <si>
    <t>APIID</t>
    <phoneticPr fontId="3"/>
  </si>
  <si>
    <t>行ラベル</t>
  </si>
  <si>
    <t>総計</t>
  </si>
  <si>
    <t>サイトTOP</t>
  </si>
  <si>
    <t>カード一覧</t>
  </si>
  <si>
    <t>カード詳細</t>
  </si>
  <si>
    <t>新規会員登録入力</t>
  </si>
  <si>
    <t>新規会員登録確認</t>
  </si>
  <si>
    <t>新規会員登録完了</t>
  </si>
  <si>
    <t>パスワード再発行</t>
  </si>
  <si>
    <t>パスワード再発行完了</t>
  </si>
  <si>
    <t>お知らせ・通知一覧</t>
  </si>
  <si>
    <t>お知らせ・通知詳細</t>
  </si>
  <si>
    <t>対戦履歴詳細</t>
  </si>
  <si>
    <t>チャット</t>
  </si>
  <si>
    <t>フレンド追加</t>
  </si>
  <si>
    <t>(空白)</t>
  </si>
  <si>
    <t>共通エリア初期表示</t>
  </si>
  <si>
    <t>サイトTOP遷移</t>
  </si>
  <si>
    <t>ログイン遷移</t>
  </si>
  <si>
    <t>マイメニュー遷移</t>
  </si>
  <si>
    <t>お知らせ遷移</t>
  </si>
  <si>
    <t>マイデッキ遷移</t>
  </si>
  <si>
    <t>対戦履歴遷移</t>
  </si>
  <si>
    <t>マイフレンド遷移</t>
  </si>
  <si>
    <t>マイプロフィール遷移</t>
  </si>
  <si>
    <t>ログアウト</t>
  </si>
  <si>
    <t>ユーザーメニューを表示/非表示</t>
  </si>
  <si>
    <t>ユーザー取得API</t>
  </si>
  <si>
    <t>機能ID</t>
  </si>
  <si>
    <t>イベント名</t>
  </si>
  <si>
    <t>画面ID</t>
  </si>
  <si>
    <t>画面名</t>
  </si>
  <si>
    <t>画面名</t>
    <rPh sb="0" eb="2">
      <t>ガメン</t>
    </rPh>
    <rPh sb="2" eb="3">
      <t>メイ</t>
    </rPh>
    <phoneticPr fontId="3"/>
  </si>
  <si>
    <t>イベントID</t>
  </si>
  <si>
    <t>呼び出しAPI</t>
  </si>
  <si>
    <t>画面・イベント・API紐づけ資料</t>
    <rPh sb="0" eb="2">
      <t>ガメン</t>
    </rPh>
    <rPh sb="11" eb="12">
      <t>ヒモ</t>
    </rPh>
    <rPh sb="14" eb="16">
      <t>シリョウ</t>
    </rPh>
    <phoneticPr fontId="3"/>
  </si>
  <si>
    <t>API名称</t>
    <rPh sb="3" eb="5">
      <t>メイショウ</t>
    </rPh>
    <phoneticPr fontId="3"/>
  </si>
  <si>
    <t>列ラベル</t>
  </si>
  <si>
    <t>画面ID</t>
    <rPh sb="0" eb="2">
      <t>ガメン</t>
    </rPh>
    <phoneticPr fontId="3"/>
  </si>
  <si>
    <t>お知らせ・通知一覧 集計</t>
  </si>
  <si>
    <t>お知らせ・通知詳細 集計</t>
  </si>
  <si>
    <t>カード一覧 集計</t>
  </si>
  <si>
    <t>カード詳細 集計</t>
  </si>
  <si>
    <t>サイトTOP 集計</t>
  </si>
  <si>
    <t>チャット 集計</t>
  </si>
  <si>
    <t>パスワード再発行 集計</t>
  </si>
  <si>
    <t>パスワード再発行完了 集計</t>
  </si>
  <si>
    <t>フレンド追加 集計</t>
  </si>
  <si>
    <t>マイデッキ 集計</t>
  </si>
  <si>
    <t>マイフレンド 集計</t>
  </si>
  <si>
    <t>マイプロフィール 集計</t>
  </si>
  <si>
    <t>マイメニュー 集計</t>
  </si>
  <si>
    <t>ログイン 集計</t>
  </si>
  <si>
    <t>共通エリア 集計</t>
  </si>
  <si>
    <t>新規会員登録確認 集計</t>
  </si>
  <si>
    <t>新規会員登録完了 集計</t>
  </si>
  <si>
    <t>新規会員登録入力 集計</t>
  </si>
  <si>
    <t>対戦履歴 集計</t>
  </si>
  <si>
    <t>対戦履歴詳細 集計</t>
  </si>
  <si>
    <t>API呼び出し画面</t>
    <rPh sb="3" eb="4">
      <t>ヨ</t>
    </rPh>
    <rPh sb="5" eb="6">
      <t>ダ</t>
    </rPh>
    <rPh sb="7" eb="9">
      <t>ガメン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</si>
</sst>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);[Red]\(0.0\)"/>
    <numFmt numFmtId="177" formatCode="0.0"/>
  </numFmts>
  <fonts count="11" x14ac:knownFonts="1"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ゴシック"/>
      <family val="3"/>
      <charset val="128"/>
    </font>
    <font>
      <sz val="6"/>
      <name val="ＭＳ Ｐゴシック"/>
      <family val="3"/>
      <charset val="128"/>
      <scheme val="minor"/>
    </font>
    <font>
      <sz val="11"/>
      <name val="ＭＳ ゴシック"/>
      <family val="3"/>
      <charset val="128"/>
    </font>
    <font>
      <sz val="12"/>
      <name val="ＭＳ ゴシック"/>
      <family val="3"/>
      <charset val="128"/>
    </font>
    <font>
      <sz val="6"/>
      <name val="ＭＳ Ｐゴシック"/>
      <family val="2"/>
      <charset val="128"/>
      <scheme val="minor"/>
    </font>
    <font>
      <b/>
      <sz val="11"/>
      <color theme="1"/>
      <name val="ＭＳ ゴシック"/>
      <family val="3"/>
      <charset val="128"/>
    </font>
    <font>
      <sz val="11"/>
      <color theme="1"/>
      <name val="Yu Gothic UI"/>
      <family val="3"/>
      <charset val="128"/>
    </font>
    <font>
      <sz val="11"/>
      <color rgb="FF4BACC6"/>
      <name val="Yu Gothic UI"/>
      <family val="3"/>
      <charset val="128"/>
    </font>
    <font>
      <b/>
      <sz val="11"/>
      <color theme="1"/>
      <name val="ＭＳ Ｐ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11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vertical="center"/>
    </xf>
    <xf numFmtId="49" fontId="2" fillId="0" borderId="0" xfId="0" applyNumberFormat="1" applyFont="1"/>
    <xf numFmtId="49" fontId="2" fillId="0" borderId="0" xfId="0" applyNumberFormat="1" applyFont="1" applyAlignment="1">
      <alignment horizontal="center" vertical="center"/>
    </xf>
    <xf numFmtId="0" fontId="7" fillId="0" borderId="0" xfId="0" applyFont="1"/>
    <xf numFmtId="0" fontId="5" fillId="0" borderId="0" xfId="0" applyFont="1" applyAlignment="1">
      <alignment vertical="center"/>
    </xf>
    <xf numFmtId="49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vertical="center"/>
    </xf>
    <xf numFmtId="0" fontId="8" fillId="3" borderId="0" xfId="0" applyFont="1" applyFill="1" applyAlignment="1">
      <alignment vertical="center"/>
    </xf>
    <xf numFmtId="0" fontId="9" fillId="0" borderId="0" xfId="0" applyFont="1" applyBorder="1" applyAlignment="1">
      <alignment vertical="center"/>
    </xf>
    <xf numFmtId="0" fontId="8" fillId="0" borderId="0" xfId="0" applyFont="1"/>
    <xf numFmtId="0" fontId="8" fillId="3" borderId="4" xfId="0" applyFont="1" applyFill="1" applyBorder="1"/>
    <xf numFmtId="0" fontId="8" fillId="3" borderId="2" xfId="0" applyFont="1" applyFill="1" applyBorder="1"/>
    <xf numFmtId="0" fontId="8" fillId="3" borderId="5" xfId="0" applyFont="1" applyFill="1" applyBorder="1"/>
    <xf numFmtId="0" fontId="8" fillId="3" borderId="3" xfId="0" applyFont="1" applyFill="1" applyBorder="1"/>
    <xf numFmtId="0" fontId="8" fillId="3" borderId="0" xfId="0" applyFont="1" applyFill="1"/>
    <xf numFmtId="0" fontId="8" fillId="3" borderId="9" xfId="0" applyFont="1" applyFill="1" applyBorder="1"/>
    <xf numFmtId="0" fontId="8" fillId="0" borderId="0" xfId="0" applyFont="1" applyAlignment="1">
      <alignment vertical="center"/>
    </xf>
    <xf numFmtId="0" fontId="8" fillId="3" borderId="3" xfId="0" applyFont="1" applyFill="1" applyBorder="1" applyAlignment="1">
      <alignment vertical="center"/>
    </xf>
    <xf numFmtId="0" fontId="8" fillId="3" borderId="9" xfId="0" applyFont="1" applyFill="1" applyBorder="1" applyAlignment="1">
      <alignment vertical="center"/>
    </xf>
    <xf numFmtId="0" fontId="9" fillId="0" borderId="4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5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0" fontId="9" fillId="0" borderId="9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9" fillId="0" borderId="6" xfId="0" applyFont="1" applyBorder="1" applyAlignment="1">
      <alignment vertical="center"/>
    </xf>
    <xf numFmtId="0" fontId="9" fillId="0" borderId="7" xfId="0" applyFont="1" applyBorder="1" applyAlignment="1">
      <alignment vertical="center"/>
    </xf>
    <xf numFmtId="0" fontId="9" fillId="0" borderId="8" xfId="0" applyFont="1" applyBorder="1" applyAlignment="1">
      <alignment vertical="center"/>
    </xf>
    <xf numFmtId="0" fontId="8" fillId="5" borderId="3" xfId="0" applyFont="1" applyFill="1" applyBorder="1" applyAlignment="1">
      <alignment vertical="center"/>
    </xf>
    <xf numFmtId="0" fontId="8" fillId="5" borderId="0" xfId="0" applyFont="1" applyFill="1" applyAlignment="1">
      <alignment vertical="center"/>
    </xf>
    <xf numFmtId="0" fontId="8" fillId="5" borderId="9" xfId="0" applyFont="1" applyFill="1" applyBorder="1" applyAlignment="1">
      <alignment vertical="center"/>
    </xf>
    <xf numFmtId="0" fontId="9" fillId="6" borderId="4" xfId="0" applyFont="1" applyFill="1" applyBorder="1" applyAlignment="1">
      <alignment vertical="center"/>
    </xf>
    <xf numFmtId="0" fontId="9" fillId="6" borderId="2" xfId="0" applyFont="1" applyFill="1" applyBorder="1" applyAlignment="1">
      <alignment vertical="center"/>
    </xf>
    <xf numFmtId="0" fontId="9" fillId="6" borderId="5" xfId="0" applyFont="1" applyFill="1" applyBorder="1" applyAlignment="1">
      <alignment vertical="center"/>
    </xf>
    <xf numFmtId="0" fontId="9" fillId="6" borderId="3" xfId="0" applyFont="1" applyFill="1" applyBorder="1" applyAlignment="1">
      <alignment vertical="center"/>
    </xf>
    <xf numFmtId="0" fontId="9" fillId="6" borderId="0" xfId="0" applyFont="1" applyFill="1" applyAlignment="1">
      <alignment vertical="center"/>
    </xf>
    <xf numFmtId="0" fontId="9" fillId="6" borderId="9" xfId="0" applyFont="1" applyFill="1" applyBorder="1" applyAlignment="1">
      <alignment vertical="center"/>
    </xf>
    <xf numFmtId="0" fontId="9" fillId="6" borderId="6" xfId="0" applyFont="1" applyFill="1" applyBorder="1" applyAlignment="1">
      <alignment vertical="center"/>
    </xf>
    <xf numFmtId="0" fontId="9" fillId="6" borderId="7" xfId="0" applyFont="1" applyFill="1" applyBorder="1" applyAlignment="1">
      <alignment vertical="center"/>
    </xf>
    <xf numFmtId="0" fontId="9" fillId="6" borderId="8" xfId="0" applyFont="1" applyFill="1" applyBorder="1" applyAlignment="1">
      <alignment vertical="center"/>
    </xf>
    <xf numFmtId="0" fontId="9" fillId="5" borderId="0" xfId="0" applyFont="1" applyFill="1" applyAlignment="1">
      <alignment horizontal="left" vertical="center"/>
    </xf>
    <xf numFmtId="0" fontId="8" fillId="2" borderId="4" xfId="0" applyFont="1" applyFill="1" applyBorder="1" applyAlignment="1">
      <alignment vertical="center"/>
    </xf>
    <xf numFmtId="0" fontId="8" fillId="2" borderId="2" xfId="0" applyFont="1" applyFill="1" applyBorder="1" applyAlignment="1">
      <alignment vertical="center"/>
    </xf>
    <xf numFmtId="0" fontId="8" fillId="2" borderId="5" xfId="0" applyFont="1" applyFill="1" applyBorder="1" applyAlignment="1">
      <alignment vertical="center"/>
    </xf>
    <xf numFmtId="0" fontId="8" fillId="2" borderId="3" xfId="0" applyFont="1" applyFill="1" applyBorder="1" applyAlignment="1">
      <alignment vertical="center"/>
    </xf>
    <xf numFmtId="0" fontId="8" fillId="2" borderId="0" xfId="0" applyFont="1" applyFill="1" applyAlignment="1">
      <alignment vertical="center"/>
    </xf>
    <xf numFmtId="0" fontId="8" fillId="2" borderId="9" xfId="0" applyFont="1" applyFill="1" applyBorder="1" applyAlignment="1">
      <alignment vertical="center"/>
    </xf>
    <xf numFmtId="0" fontId="8" fillId="2" borderId="6" xfId="0" applyFont="1" applyFill="1" applyBorder="1" applyAlignment="1">
      <alignment vertical="center"/>
    </xf>
    <xf numFmtId="0" fontId="8" fillId="2" borderId="7" xfId="0" applyFont="1" applyFill="1" applyBorder="1" applyAlignment="1">
      <alignment vertical="center"/>
    </xf>
    <xf numFmtId="0" fontId="8" fillId="2" borderId="8" xfId="0" applyFont="1" applyFill="1" applyBorder="1" applyAlignment="1">
      <alignment vertical="center"/>
    </xf>
    <xf numFmtId="0" fontId="8" fillId="4" borderId="4" xfId="0" applyFont="1" applyFill="1" applyBorder="1" applyAlignment="1">
      <alignment vertical="center"/>
    </xf>
    <xf numFmtId="0" fontId="8" fillId="4" borderId="0" xfId="0" applyFont="1" applyFill="1" applyAlignment="1">
      <alignment vertical="center"/>
    </xf>
    <xf numFmtId="0" fontId="8" fillId="4" borderId="9" xfId="0" applyFont="1" applyFill="1" applyBorder="1" applyAlignment="1">
      <alignment vertical="center"/>
    </xf>
    <xf numFmtId="0" fontId="8" fillId="4" borderId="3" xfId="0" applyFont="1" applyFill="1" applyBorder="1" applyAlignment="1">
      <alignment vertical="center"/>
    </xf>
    <xf numFmtId="0" fontId="8" fillId="4" borderId="6" xfId="0" applyFont="1" applyFill="1" applyBorder="1" applyAlignment="1">
      <alignment vertical="center"/>
    </xf>
    <xf numFmtId="0" fontId="8" fillId="4" borderId="7" xfId="0" applyFont="1" applyFill="1" applyBorder="1" applyAlignment="1">
      <alignment vertical="center"/>
    </xf>
    <xf numFmtId="0" fontId="8" fillId="4" borderId="8" xfId="0" applyFont="1" applyFill="1" applyBorder="1" applyAlignment="1">
      <alignment vertical="center"/>
    </xf>
    <xf numFmtId="0" fontId="9" fillId="6" borderId="4" xfId="0" applyFont="1" applyFill="1" applyBorder="1" applyAlignment="1">
      <alignment vertical="center" wrapText="1"/>
    </xf>
    <xf numFmtId="0" fontId="8" fillId="5" borderId="0" xfId="0" applyFont="1" applyFill="1" applyBorder="1" applyAlignment="1">
      <alignment vertical="center"/>
    </xf>
    <xf numFmtId="0" fontId="9" fillId="6" borderId="3" xfId="0" applyFont="1" applyFill="1" applyBorder="1" applyAlignment="1">
      <alignment vertical="center" wrapText="1"/>
    </xf>
    <xf numFmtId="0" fontId="9" fillId="6" borderId="0" xfId="0" applyFont="1" applyFill="1" applyBorder="1" applyAlignment="1">
      <alignment vertical="center"/>
    </xf>
    <xf numFmtId="49" fontId="2" fillId="2" borderId="10" xfId="0" applyNumberFormat="1" applyFont="1" applyFill="1" applyBorder="1" applyAlignment="1">
      <alignment horizontal="left" vertical="center"/>
    </xf>
    <xf numFmtId="49" fontId="2" fillId="0" borderId="10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176" fontId="2" fillId="0" borderId="1" xfId="0" quotePrefix="1" applyNumberFormat="1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4" fontId="4" fillId="0" borderId="10" xfId="0" applyNumberFormat="1" applyFont="1" applyBorder="1" applyAlignment="1">
      <alignment horizontal="center" vertical="center"/>
    </xf>
    <xf numFmtId="14" fontId="4" fillId="0" borderId="11" xfId="0" applyNumberFormat="1" applyFont="1" applyBorder="1" applyAlignment="1">
      <alignment horizontal="center" vertical="center"/>
    </xf>
    <xf numFmtId="14" fontId="4" fillId="0" borderId="12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 wrapText="1"/>
    </xf>
    <xf numFmtId="14" fontId="2" fillId="0" borderId="10" xfId="0" applyNumberFormat="1" applyFont="1" applyBorder="1" applyAlignment="1">
      <alignment horizontal="center" vertical="center"/>
    </xf>
    <xf numFmtId="14" fontId="2" fillId="0" borderId="11" xfId="0" applyNumberFormat="1" applyFont="1" applyBorder="1" applyAlignment="1">
      <alignment horizontal="center" vertical="center"/>
    </xf>
    <xf numFmtId="14" fontId="2" fillId="0" borderId="12" xfId="0" applyNumberFormat="1" applyFont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vertical="center"/>
    </xf>
    <xf numFmtId="0" fontId="4" fillId="2" borderId="11" xfId="0" applyFont="1" applyFill="1" applyBorder="1" applyAlignment="1">
      <alignment horizontal="left" vertical="center"/>
    </xf>
    <xf numFmtId="0" fontId="4" fillId="2" borderId="12" xfId="0" applyFont="1" applyFill="1" applyBorder="1" applyAlignment="1">
      <alignment horizontal="left" vertical="center"/>
    </xf>
    <xf numFmtId="176" fontId="2" fillId="0" borderId="10" xfId="0" applyNumberFormat="1" applyFont="1" applyBorder="1" applyAlignment="1">
      <alignment horizontal="center" vertical="center"/>
    </xf>
    <xf numFmtId="176" fontId="2" fillId="0" borderId="11" xfId="0" applyNumberFormat="1" applyFont="1" applyBorder="1" applyAlignment="1">
      <alignment horizontal="center" vertical="center"/>
    </xf>
    <xf numFmtId="176" fontId="2" fillId="0" borderId="12" xfId="0" applyNumberFormat="1" applyFont="1" applyBorder="1" applyAlignment="1">
      <alignment horizontal="center" vertical="center"/>
    </xf>
    <xf numFmtId="0" fontId="2" fillId="2" borderId="1" xfId="1" applyFont="1" applyFill="1" applyBorder="1" applyAlignment="1">
      <alignment vertical="top" wrapText="1"/>
    </xf>
    <xf numFmtId="0" fontId="4" fillId="0" borderId="13" xfId="1" applyFont="1" applyBorder="1" applyAlignment="1">
      <alignment vertical="top" wrapText="1"/>
    </xf>
    <xf numFmtId="0" fontId="4" fillId="0" borderId="1" xfId="1" applyFont="1" applyBorder="1" applyAlignment="1">
      <alignment vertical="center" wrapText="1"/>
    </xf>
    <xf numFmtId="0" fontId="2" fillId="0" borderId="1" xfId="1" applyFont="1" applyBorder="1" applyAlignment="1">
      <alignment vertical="top" wrapText="1"/>
    </xf>
    <xf numFmtId="0" fontId="2" fillId="0" borderId="1" xfId="1" applyFont="1" applyBorder="1" applyAlignment="1">
      <alignment vertical="center" wrapText="1"/>
    </xf>
    <xf numFmtId="0" fontId="2" fillId="0" borderId="1" xfId="1" quotePrefix="1" applyFont="1" applyBorder="1" applyAlignment="1">
      <alignment vertical="top" wrapText="1"/>
    </xf>
    <xf numFmtId="0" fontId="4" fillId="0" borderId="1" xfId="1" applyFont="1" applyBorder="1" applyAlignment="1">
      <alignment vertical="top" wrapText="1"/>
    </xf>
    <xf numFmtId="0" fontId="2" fillId="3" borderId="1" xfId="1" applyFont="1" applyFill="1" applyBorder="1" applyAlignment="1">
      <alignment vertical="top" wrapText="1"/>
    </xf>
    <xf numFmtId="49" fontId="2" fillId="2" borderId="1" xfId="0" applyNumberFormat="1" applyFont="1" applyFill="1" applyBorder="1" applyAlignment="1">
      <alignment horizontal="left" vertical="center"/>
    </xf>
    <xf numFmtId="0" fontId="2" fillId="0" borderId="1" xfId="0" applyNumberFormat="1" applyFont="1" applyBorder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49" fontId="7" fillId="0" borderId="0" xfId="0" applyNumberFormat="1" applyFont="1"/>
    <xf numFmtId="49" fontId="2" fillId="0" borderId="1" xfId="0" applyNumberFormat="1" applyFont="1" applyBorder="1"/>
    <xf numFmtId="0" fontId="0" fillId="0" borderId="0" xfId="0" pivotButton="1"/>
    <xf numFmtId="0" fontId="0" fillId="0" borderId="0" xfId="0" applyAlignment="1">
      <alignment horizontal="left"/>
    </xf>
    <xf numFmtId="0" fontId="10" fillId="0" borderId="0" xfId="0" applyFont="1"/>
  </cellXfs>
  <cellStyles count="2">
    <cellStyle name="標準" xfId="0" builtinId="0"/>
    <cellStyle name="標準 3" xfId="1" xr:uid="{9AD86BE4-20A8-4106-B74A-09F0BE5B6807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14</xdr:row>
      <xdr:rowOff>207064</xdr:rowOff>
    </xdr:from>
    <xdr:to>
      <xdr:col>46</xdr:col>
      <xdr:colOff>2</xdr:colOff>
      <xdr:row>21</xdr:row>
      <xdr:rowOff>207065</xdr:rowOff>
    </xdr:to>
    <xdr:cxnSp macro="">
      <xdr:nvCxnSpPr>
        <xdr:cNvPr id="152" name="コネクタ: カギ線 78">
          <a:extLst>
            <a:ext uri="{FF2B5EF4-FFF2-40B4-BE49-F238E27FC236}">
              <a16:creationId xmlns:a16="http://schemas.microsoft.com/office/drawing/2014/main" id="{00000000-0008-0000-0300-000098000000}"/>
            </a:ext>
            <a:ext uri="{147F2762-F138-4A5C-976F-8EAC2B608ADB}">
              <a16:predDERef xmlns:a16="http://schemas.microsoft.com/office/drawing/2014/main" pred="{00000000-0008-0000-0300-000097000000}"/>
            </a:ext>
          </a:extLst>
        </xdr:cNvPr>
        <xdr:cNvCxnSpPr>
          <a:cxnSpLocks/>
        </xdr:cNvCxnSpPr>
      </xdr:nvCxnSpPr>
      <xdr:spPr>
        <a:xfrm rot="10800000" flipV="1">
          <a:off x="3379304" y="2724977"/>
          <a:ext cx="5764698" cy="1283805"/>
        </a:xfrm>
        <a:prstGeom prst="bentConnector3">
          <a:avLst>
            <a:gd name="adj1" fmla="val -704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9529</xdr:colOff>
      <xdr:row>67</xdr:row>
      <xdr:rowOff>171448</xdr:rowOff>
    </xdr:from>
    <xdr:to>
      <xdr:col>42</xdr:col>
      <xdr:colOff>0</xdr:colOff>
      <xdr:row>68</xdr:row>
      <xdr:rowOff>0</xdr:rowOff>
    </xdr:to>
    <xdr:cxnSp macro="">
      <xdr:nvCxnSpPr>
        <xdr:cNvPr id="75" name="コネクタ: カギ線 69">
          <a:extLst>
            <a:ext uri="{FF2B5EF4-FFF2-40B4-BE49-F238E27FC236}">
              <a16:creationId xmlns:a16="http://schemas.microsoft.com/office/drawing/2014/main" id="{00000000-0008-0000-0300-00004B000000}"/>
            </a:ext>
          </a:extLst>
        </xdr:cNvPr>
        <xdr:cNvCxnSpPr>
          <a:cxnSpLocks/>
        </xdr:cNvCxnSpPr>
      </xdr:nvCxnSpPr>
      <xdr:spPr>
        <a:xfrm flipV="1">
          <a:off x="6823079" y="11137898"/>
          <a:ext cx="911221" cy="2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184148</xdr:colOff>
      <xdr:row>69</xdr:row>
      <xdr:rowOff>190498</xdr:rowOff>
    </xdr:from>
    <xdr:to>
      <xdr:col>42</xdr:col>
      <xdr:colOff>0</xdr:colOff>
      <xdr:row>70</xdr:row>
      <xdr:rowOff>0</xdr:rowOff>
    </xdr:to>
    <xdr:cxnSp macro="">
      <xdr:nvCxnSpPr>
        <xdr:cNvPr id="76" name="コネクタ: カギ線 69">
          <a:extLst>
            <a:ext uri="{FF2B5EF4-FFF2-40B4-BE49-F238E27FC236}">
              <a16:creationId xmlns:a16="http://schemas.microsoft.com/office/drawing/2014/main" id="{00000000-0008-0000-0300-00004C000000}"/>
            </a:ext>
          </a:extLst>
        </xdr:cNvPr>
        <xdr:cNvCxnSpPr>
          <a:cxnSpLocks/>
        </xdr:cNvCxnSpPr>
      </xdr:nvCxnSpPr>
      <xdr:spPr>
        <a:xfrm rot="10800000">
          <a:off x="6813548" y="11537948"/>
          <a:ext cx="920752" cy="2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13</xdr:row>
      <xdr:rowOff>0</xdr:rowOff>
    </xdr:from>
    <xdr:to>
      <xdr:col>20</xdr:col>
      <xdr:colOff>0</xdr:colOff>
      <xdr:row>13</xdr:row>
      <xdr:rowOff>2</xdr:rowOff>
    </xdr:to>
    <xdr:cxnSp macro="">
      <xdr:nvCxnSpPr>
        <xdr:cNvPr id="36" name="直線矢印コネクタ 35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CxnSpPr/>
      </xdr:nvCxnSpPr>
      <xdr:spPr>
        <a:xfrm flipV="1">
          <a:off x="1590261" y="2343978"/>
          <a:ext cx="2385391" cy="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16</xdr:row>
      <xdr:rowOff>173934</xdr:rowOff>
    </xdr:from>
    <xdr:to>
      <xdr:col>20</xdr:col>
      <xdr:colOff>0</xdr:colOff>
      <xdr:row>17</xdr:row>
      <xdr:rowOff>0</xdr:rowOff>
    </xdr:to>
    <xdr:cxnSp macro="">
      <xdr:nvCxnSpPr>
        <xdr:cNvPr id="69" name="直線矢印コネクタ 68">
          <a:extLst>
            <a:ext uri="{FF2B5EF4-FFF2-40B4-BE49-F238E27FC236}">
              <a16:creationId xmlns:a16="http://schemas.microsoft.com/office/drawing/2014/main" id="{00000000-0008-0000-0300-000045000000}"/>
            </a:ext>
          </a:extLst>
        </xdr:cNvPr>
        <xdr:cNvCxnSpPr/>
      </xdr:nvCxnSpPr>
      <xdr:spPr>
        <a:xfrm flipV="1">
          <a:off x="3379304" y="3105977"/>
          <a:ext cx="596348" cy="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14</xdr:row>
      <xdr:rowOff>207064</xdr:rowOff>
    </xdr:from>
    <xdr:to>
      <xdr:col>29</xdr:col>
      <xdr:colOff>0</xdr:colOff>
      <xdr:row>15</xdr:row>
      <xdr:rowOff>0</xdr:rowOff>
    </xdr:to>
    <xdr:cxnSp macro="">
      <xdr:nvCxnSpPr>
        <xdr:cNvPr id="70" name="直線矢印コネクタ 69">
          <a:extLst>
            <a:ext uri="{FF2B5EF4-FFF2-40B4-BE49-F238E27FC236}">
              <a16:creationId xmlns:a16="http://schemas.microsoft.com/office/drawing/2014/main" id="{00000000-0008-0000-0300-000046000000}"/>
            </a:ext>
          </a:extLst>
        </xdr:cNvPr>
        <xdr:cNvCxnSpPr/>
      </xdr:nvCxnSpPr>
      <xdr:spPr>
        <a:xfrm flipV="1">
          <a:off x="5168348" y="2724977"/>
          <a:ext cx="596348" cy="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15</xdr:row>
      <xdr:rowOff>0</xdr:rowOff>
    </xdr:from>
    <xdr:to>
      <xdr:col>40</xdr:col>
      <xdr:colOff>0</xdr:colOff>
      <xdr:row>15</xdr:row>
      <xdr:rowOff>2</xdr:rowOff>
    </xdr:to>
    <xdr:cxnSp macro="">
      <xdr:nvCxnSpPr>
        <xdr:cNvPr id="71" name="直線矢印コネクタ 70">
          <a:extLst>
            <a:ext uri="{FF2B5EF4-FFF2-40B4-BE49-F238E27FC236}">
              <a16:creationId xmlns:a16="http://schemas.microsoft.com/office/drawing/2014/main" id="{00000000-0008-0000-0300-000047000000}"/>
            </a:ext>
          </a:extLst>
        </xdr:cNvPr>
        <xdr:cNvCxnSpPr/>
      </xdr:nvCxnSpPr>
      <xdr:spPr>
        <a:xfrm flipV="1">
          <a:off x="6957391" y="2724978"/>
          <a:ext cx="993913" cy="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19</xdr:row>
      <xdr:rowOff>0</xdr:rowOff>
    </xdr:from>
    <xdr:to>
      <xdr:col>29</xdr:col>
      <xdr:colOff>0</xdr:colOff>
      <xdr:row>19</xdr:row>
      <xdr:rowOff>0</xdr:rowOff>
    </xdr:to>
    <xdr:cxnSp macro="">
      <xdr:nvCxnSpPr>
        <xdr:cNvPr id="73" name="直線矢印コネクタ 72">
          <a:extLst>
            <a:ext uri="{FF2B5EF4-FFF2-40B4-BE49-F238E27FC236}">
              <a16:creationId xmlns:a16="http://schemas.microsoft.com/office/drawing/2014/main" id="{00000000-0008-0000-0300-000049000000}"/>
            </a:ext>
          </a:extLst>
        </xdr:cNvPr>
        <xdr:cNvCxnSpPr/>
      </xdr:nvCxnSpPr>
      <xdr:spPr>
        <a:xfrm flipH="1">
          <a:off x="5168348" y="3453848"/>
          <a:ext cx="596348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19</xdr:row>
      <xdr:rowOff>0</xdr:rowOff>
    </xdr:from>
    <xdr:to>
      <xdr:col>20</xdr:col>
      <xdr:colOff>0</xdr:colOff>
      <xdr:row>19</xdr:row>
      <xdr:rowOff>0</xdr:rowOff>
    </xdr:to>
    <xdr:cxnSp macro="">
      <xdr:nvCxnSpPr>
        <xdr:cNvPr id="80" name="直線矢印コネクタ 79">
          <a:extLst>
            <a:ext uri="{FF2B5EF4-FFF2-40B4-BE49-F238E27FC236}">
              <a16:creationId xmlns:a16="http://schemas.microsoft.com/office/drawing/2014/main" id="{00000000-0008-0000-0300-000050000000}"/>
            </a:ext>
          </a:extLst>
        </xdr:cNvPr>
        <xdr:cNvCxnSpPr/>
      </xdr:nvCxnSpPr>
      <xdr:spPr>
        <a:xfrm flipH="1">
          <a:off x="3379304" y="3453848"/>
          <a:ext cx="596348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25</xdr:row>
      <xdr:rowOff>0</xdr:rowOff>
    </xdr:from>
    <xdr:to>
      <xdr:col>20</xdr:col>
      <xdr:colOff>0</xdr:colOff>
      <xdr:row>25</xdr:row>
      <xdr:rowOff>1</xdr:rowOff>
    </xdr:to>
    <xdr:cxnSp macro="">
      <xdr:nvCxnSpPr>
        <xdr:cNvPr id="84" name="直線矢印コネクタ 83">
          <a:extLst>
            <a:ext uri="{FF2B5EF4-FFF2-40B4-BE49-F238E27FC236}">
              <a16:creationId xmlns:a16="http://schemas.microsoft.com/office/drawing/2014/main" id="{00000000-0008-0000-0300-000054000000}"/>
            </a:ext>
          </a:extLst>
        </xdr:cNvPr>
        <xdr:cNvCxnSpPr/>
      </xdr:nvCxnSpPr>
      <xdr:spPr>
        <a:xfrm flipV="1">
          <a:off x="3379304" y="4530587"/>
          <a:ext cx="596348" cy="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16</xdr:row>
      <xdr:rowOff>140803</xdr:rowOff>
    </xdr:from>
    <xdr:to>
      <xdr:col>11</xdr:col>
      <xdr:colOff>0</xdr:colOff>
      <xdr:row>16</xdr:row>
      <xdr:rowOff>140804</xdr:rowOff>
    </xdr:to>
    <xdr:cxnSp macro="">
      <xdr:nvCxnSpPr>
        <xdr:cNvPr id="85" name="直線矢印コネクタ 84">
          <a:extLst>
            <a:ext uri="{FF2B5EF4-FFF2-40B4-BE49-F238E27FC236}">
              <a16:creationId xmlns:a16="http://schemas.microsoft.com/office/drawing/2014/main" id="{00000000-0008-0000-0300-000055000000}"/>
            </a:ext>
          </a:extLst>
        </xdr:cNvPr>
        <xdr:cNvCxnSpPr/>
      </xdr:nvCxnSpPr>
      <xdr:spPr>
        <a:xfrm flipV="1">
          <a:off x="1590261" y="3072846"/>
          <a:ext cx="596348" cy="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</xdr:colOff>
      <xdr:row>27</xdr:row>
      <xdr:rowOff>171172</xdr:rowOff>
    </xdr:from>
    <xdr:to>
      <xdr:col>37</xdr:col>
      <xdr:colOff>1</xdr:colOff>
      <xdr:row>30</xdr:row>
      <xdr:rowOff>99388</xdr:rowOff>
    </xdr:to>
    <xdr:cxnSp macro="">
      <xdr:nvCxnSpPr>
        <xdr:cNvPr id="91" name="コネクタ: カギ線 78">
          <a:extLst>
            <a:ext uri="{FF2B5EF4-FFF2-40B4-BE49-F238E27FC236}">
              <a16:creationId xmlns:a16="http://schemas.microsoft.com/office/drawing/2014/main" id="{00000000-0008-0000-0300-00005B000000}"/>
            </a:ext>
            <a:ext uri="{147F2762-F138-4A5C-976F-8EAC2B608ADB}">
              <a16:predDERef xmlns:a16="http://schemas.microsoft.com/office/drawing/2014/main" pred="{00000000-0008-0000-0300-000097000000}"/>
            </a:ext>
          </a:extLst>
        </xdr:cNvPr>
        <xdr:cNvCxnSpPr>
          <a:cxnSpLocks/>
        </xdr:cNvCxnSpPr>
      </xdr:nvCxnSpPr>
      <xdr:spPr>
        <a:xfrm rot="10800000" flipV="1">
          <a:off x="3097701" y="4986129"/>
          <a:ext cx="3644343" cy="441737"/>
        </a:xfrm>
        <a:prstGeom prst="bentConnector3">
          <a:avLst>
            <a:gd name="adj1" fmla="val -6061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36</xdr:row>
      <xdr:rowOff>0</xdr:rowOff>
    </xdr:from>
    <xdr:to>
      <xdr:col>20</xdr:col>
      <xdr:colOff>0</xdr:colOff>
      <xdr:row>36</xdr:row>
      <xdr:rowOff>1</xdr:rowOff>
    </xdr:to>
    <xdr:cxnSp macro="">
      <xdr:nvCxnSpPr>
        <xdr:cNvPr id="96" name="直線矢印コネクタ 95">
          <a:extLst>
            <a:ext uri="{FF2B5EF4-FFF2-40B4-BE49-F238E27FC236}">
              <a16:creationId xmlns:a16="http://schemas.microsoft.com/office/drawing/2014/main" id="{00000000-0008-0000-0300-000060000000}"/>
            </a:ext>
            <a:ext uri="{147F2762-F138-4A5C-976F-8EAC2B608ADB}">
              <a16:predDERef xmlns:a16="http://schemas.microsoft.com/office/drawing/2014/main" pred="{00000000-0008-0000-0300-00005B000000}"/>
            </a:ext>
          </a:extLst>
        </xdr:cNvPr>
        <xdr:cNvCxnSpPr/>
      </xdr:nvCxnSpPr>
      <xdr:spPr>
        <a:xfrm flipV="1">
          <a:off x="3379304" y="6443870"/>
          <a:ext cx="596348" cy="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96</xdr:row>
      <xdr:rowOff>8283</xdr:rowOff>
    </xdr:from>
    <xdr:to>
      <xdr:col>11</xdr:col>
      <xdr:colOff>0</xdr:colOff>
      <xdr:row>96</xdr:row>
      <xdr:rowOff>8284</xdr:rowOff>
    </xdr:to>
    <xdr:cxnSp macro="">
      <xdr:nvCxnSpPr>
        <xdr:cNvPr id="110" name="直線矢印コネクタ 109">
          <a:extLst>
            <a:ext uri="{FF2B5EF4-FFF2-40B4-BE49-F238E27FC236}">
              <a16:creationId xmlns:a16="http://schemas.microsoft.com/office/drawing/2014/main" id="{00000000-0008-0000-0300-00006E000000}"/>
            </a:ext>
          </a:extLst>
        </xdr:cNvPr>
        <xdr:cNvCxnSpPr/>
      </xdr:nvCxnSpPr>
      <xdr:spPr>
        <a:xfrm flipV="1">
          <a:off x="2451652" y="13136218"/>
          <a:ext cx="596348" cy="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38</xdr:row>
      <xdr:rowOff>0</xdr:rowOff>
    </xdr:from>
    <xdr:to>
      <xdr:col>20</xdr:col>
      <xdr:colOff>0</xdr:colOff>
      <xdr:row>38</xdr:row>
      <xdr:rowOff>0</xdr:rowOff>
    </xdr:to>
    <xdr:cxnSp macro="">
      <xdr:nvCxnSpPr>
        <xdr:cNvPr id="32" name="直線矢印コネクタ 31">
          <a:extLst>
            <a:ext uri="{FF2B5EF4-FFF2-40B4-BE49-F238E27FC236}">
              <a16:creationId xmlns:a16="http://schemas.microsoft.com/office/drawing/2014/main" id="{00000000-0008-0000-0300-000020000000}"/>
            </a:ext>
            <a:ext uri="{147F2762-F138-4A5C-976F-8EAC2B608ADB}">
              <a16:predDERef xmlns:a16="http://schemas.microsoft.com/office/drawing/2014/main" pred="{00000000-0008-0000-0300-00006E000000}"/>
            </a:ext>
          </a:extLst>
        </xdr:cNvPr>
        <xdr:cNvCxnSpPr>
          <a:cxnSpLocks/>
        </xdr:cNvCxnSpPr>
      </xdr:nvCxnSpPr>
      <xdr:spPr>
        <a:xfrm>
          <a:off x="1473200" y="6699250"/>
          <a:ext cx="22098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102</xdr:row>
      <xdr:rowOff>207064</xdr:rowOff>
    </xdr:from>
    <xdr:to>
      <xdr:col>11</xdr:col>
      <xdr:colOff>0</xdr:colOff>
      <xdr:row>103</xdr:row>
      <xdr:rowOff>0</xdr:rowOff>
    </xdr:to>
    <xdr:cxnSp macro="">
      <xdr:nvCxnSpPr>
        <xdr:cNvPr id="24" name="直線矢印コネクタ 23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CxnSpPr/>
      </xdr:nvCxnSpPr>
      <xdr:spPr>
        <a:xfrm flipV="1">
          <a:off x="1590261" y="14411738"/>
          <a:ext cx="596348" cy="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102</xdr:row>
      <xdr:rowOff>207063</xdr:rowOff>
    </xdr:from>
    <xdr:to>
      <xdr:col>22</xdr:col>
      <xdr:colOff>0</xdr:colOff>
      <xdr:row>103</xdr:row>
      <xdr:rowOff>0</xdr:rowOff>
    </xdr:to>
    <xdr:cxnSp macro="">
      <xdr:nvCxnSpPr>
        <xdr:cNvPr id="25" name="直線矢印コネクタ 24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CxnSpPr/>
      </xdr:nvCxnSpPr>
      <xdr:spPr>
        <a:xfrm flipV="1">
          <a:off x="3379304" y="14411737"/>
          <a:ext cx="993913" cy="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</xdr:colOff>
      <xdr:row>41</xdr:row>
      <xdr:rowOff>171449</xdr:rowOff>
    </xdr:from>
    <xdr:to>
      <xdr:col>31</xdr:col>
      <xdr:colOff>0</xdr:colOff>
      <xdr:row>42</xdr:row>
      <xdr:rowOff>0</xdr:rowOff>
    </xdr:to>
    <xdr:cxnSp macro="">
      <xdr:nvCxnSpPr>
        <xdr:cNvPr id="28" name="カギ線コネクタ 27">
          <a:extLst>
            <a:ext uri="{FF2B5EF4-FFF2-40B4-BE49-F238E27FC236}">
              <a16:creationId xmlns:a16="http://schemas.microsoft.com/office/drawing/2014/main" id="{00000000-0008-0000-0300-00001C000000}"/>
            </a:ext>
            <a:ext uri="{147F2762-F138-4A5C-976F-8EAC2B608ADB}">
              <a16:predDERef xmlns:a16="http://schemas.microsoft.com/office/drawing/2014/main" pred="{00000000-0008-0000-0300-000052000000}"/>
            </a:ext>
          </a:extLst>
        </xdr:cNvPr>
        <xdr:cNvCxnSpPr>
          <a:cxnSpLocks/>
        </xdr:cNvCxnSpPr>
      </xdr:nvCxnSpPr>
      <xdr:spPr>
        <a:xfrm>
          <a:off x="4787901" y="7042149"/>
          <a:ext cx="920749" cy="1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25</xdr:row>
      <xdr:rowOff>1</xdr:rowOff>
    </xdr:from>
    <xdr:to>
      <xdr:col>31</xdr:col>
      <xdr:colOff>0</xdr:colOff>
      <xdr:row>25</xdr:row>
      <xdr:rowOff>2</xdr:rowOff>
    </xdr:to>
    <xdr:cxnSp macro="">
      <xdr:nvCxnSpPr>
        <xdr:cNvPr id="29" name="直線矢印コネクタ 28">
          <a:extLst>
            <a:ext uri="{FF2B5EF4-FFF2-40B4-BE49-F238E27FC236}">
              <a16:creationId xmlns:a16="http://schemas.microsoft.com/office/drawing/2014/main" id="{D93125F9-8AE3-4D17-AC3B-DDAA82CB5E23}"/>
            </a:ext>
          </a:extLst>
        </xdr:cNvPr>
        <xdr:cNvCxnSpPr/>
      </xdr:nvCxnSpPr>
      <xdr:spPr>
        <a:xfrm flipV="1">
          <a:off x="4737652" y="4472610"/>
          <a:ext cx="911087" cy="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28</xdr:row>
      <xdr:rowOff>0</xdr:rowOff>
    </xdr:from>
    <xdr:to>
      <xdr:col>20</xdr:col>
      <xdr:colOff>0</xdr:colOff>
      <xdr:row>28</xdr:row>
      <xdr:rowOff>0</xdr:rowOff>
    </xdr:to>
    <xdr:cxnSp macro="">
      <xdr:nvCxnSpPr>
        <xdr:cNvPr id="34" name="直線矢印コネクタ 33">
          <a:extLst>
            <a:ext uri="{FF2B5EF4-FFF2-40B4-BE49-F238E27FC236}">
              <a16:creationId xmlns:a16="http://schemas.microsoft.com/office/drawing/2014/main" id="{3DFF5D1F-8B3D-42F4-8F76-B2EAF05A7AF1}"/>
            </a:ext>
          </a:extLst>
        </xdr:cNvPr>
        <xdr:cNvCxnSpPr/>
      </xdr:nvCxnSpPr>
      <xdr:spPr>
        <a:xfrm flipH="1">
          <a:off x="3097696" y="4986130"/>
          <a:ext cx="546652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0</xdr:colOff>
      <xdr:row>42</xdr:row>
      <xdr:rowOff>0</xdr:rowOff>
    </xdr:from>
    <xdr:to>
      <xdr:col>41</xdr:col>
      <xdr:colOff>182217</xdr:colOff>
      <xdr:row>42</xdr:row>
      <xdr:rowOff>0</xdr:rowOff>
    </xdr:to>
    <xdr:cxnSp macro="">
      <xdr:nvCxnSpPr>
        <xdr:cNvPr id="44" name="直線矢印コネクタ 43">
          <a:extLst>
            <a:ext uri="{FF2B5EF4-FFF2-40B4-BE49-F238E27FC236}">
              <a16:creationId xmlns:a16="http://schemas.microsoft.com/office/drawing/2014/main" id="{1106BDD2-C41D-484A-AD56-F9A20F1011C0}"/>
            </a:ext>
            <a:ext uri="{147F2762-F138-4A5C-976F-8EAC2B608ADB}">
              <a16:predDERef xmlns:a16="http://schemas.microsoft.com/office/drawing/2014/main" pred="{00000000-0008-0000-0300-00006E000000}"/>
            </a:ext>
          </a:extLst>
        </xdr:cNvPr>
        <xdr:cNvCxnSpPr>
          <a:cxnSpLocks/>
        </xdr:cNvCxnSpPr>
      </xdr:nvCxnSpPr>
      <xdr:spPr>
        <a:xfrm>
          <a:off x="5648739" y="8105913"/>
          <a:ext cx="1093304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0</xdr:colOff>
      <xdr:row>44</xdr:row>
      <xdr:rowOff>6350</xdr:rowOff>
    </xdr:from>
    <xdr:to>
      <xdr:col>42</xdr:col>
      <xdr:colOff>1</xdr:colOff>
      <xdr:row>44</xdr:row>
      <xdr:rowOff>6350</xdr:rowOff>
    </xdr:to>
    <xdr:cxnSp macro="">
      <xdr:nvCxnSpPr>
        <xdr:cNvPr id="47" name="直線矢印コネクタ 46">
          <a:extLst>
            <a:ext uri="{FF2B5EF4-FFF2-40B4-BE49-F238E27FC236}">
              <a16:creationId xmlns:a16="http://schemas.microsoft.com/office/drawing/2014/main" id="{A1CC23C7-F58C-43A6-BAC6-C665E89056EB}"/>
            </a:ext>
            <a:ext uri="{147F2762-F138-4A5C-976F-8EAC2B608ADB}">
              <a16:predDERef xmlns:a16="http://schemas.microsoft.com/office/drawing/2014/main" pred="{00000000-0008-0000-0300-00006E000000}"/>
            </a:ext>
          </a:extLst>
        </xdr:cNvPr>
        <xdr:cNvCxnSpPr>
          <a:cxnSpLocks/>
        </xdr:cNvCxnSpPr>
      </xdr:nvCxnSpPr>
      <xdr:spPr>
        <a:xfrm flipH="1">
          <a:off x="6813550" y="7391400"/>
          <a:ext cx="1104901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0</xdr:colOff>
      <xdr:row>50</xdr:row>
      <xdr:rowOff>22089</xdr:rowOff>
    </xdr:from>
    <xdr:to>
      <xdr:col>41</xdr:col>
      <xdr:colOff>182217</xdr:colOff>
      <xdr:row>50</xdr:row>
      <xdr:rowOff>22089</xdr:rowOff>
    </xdr:to>
    <xdr:cxnSp macro="">
      <xdr:nvCxnSpPr>
        <xdr:cNvPr id="31" name="直線矢印コネクタ 30">
          <a:extLst>
            <a:ext uri="{FF2B5EF4-FFF2-40B4-BE49-F238E27FC236}">
              <a16:creationId xmlns:a16="http://schemas.microsoft.com/office/drawing/2014/main" id="{0DCAD93E-8AC8-4523-B65F-34FD514A1F21}"/>
            </a:ext>
            <a:ext uri="{147F2762-F138-4A5C-976F-8EAC2B608ADB}">
              <a16:predDERef xmlns:a16="http://schemas.microsoft.com/office/drawing/2014/main" pred="{00000000-0008-0000-0300-00006E000000}"/>
            </a:ext>
          </a:extLst>
        </xdr:cNvPr>
        <xdr:cNvCxnSpPr>
          <a:cxnSpLocks/>
        </xdr:cNvCxnSpPr>
      </xdr:nvCxnSpPr>
      <xdr:spPr>
        <a:xfrm>
          <a:off x="5648739" y="9574698"/>
          <a:ext cx="1093304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44</xdr:row>
      <xdr:rowOff>0</xdr:rowOff>
    </xdr:from>
    <xdr:to>
      <xdr:col>31</xdr:col>
      <xdr:colOff>0</xdr:colOff>
      <xdr:row>44</xdr:row>
      <xdr:rowOff>0</xdr:rowOff>
    </xdr:to>
    <xdr:cxnSp macro="">
      <xdr:nvCxnSpPr>
        <xdr:cNvPr id="41" name="直線矢印コネクタ 40">
          <a:extLst>
            <a:ext uri="{FF2B5EF4-FFF2-40B4-BE49-F238E27FC236}">
              <a16:creationId xmlns:a16="http://schemas.microsoft.com/office/drawing/2014/main" id="{6BD9D8BE-ACDC-4C40-9EA7-4736D9CB50D3}"/>
            </a:ext>
            <a:ext uri="{147F2762-F138-4A5C-976F-8EAC2B608ADB}">
              <a16:predDERef xmlns:a16="http://schemas.microsoft.com/office/drawing/2014/main" pred="{00000000-0008-0000-0300-00006E000000}"/>
            </a:ext>
          </a:extLst>
        </xdr:cNvPr>
        <xdr:cNvCxnSpPr>
          <a:cxnSpLocks/>
        </xdr:cNvCxnSpPr>
      </xdr:nvCxnSpPr>
      <xdr:spPr>
        <a:xfrm flipH="1">
          <a:off x="4787900" y="7385050"/>
          <a:ext cx="9207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50</xdr:row>
      <xdr:rowOff>0</xdr:rowOff>
    </xdr:from>
    <xdr:to>
      <xdr:col>31</xdr:col>
      <xdr:colOff>0</xdr:colOff>
      <xdr:row>50</xdr:row>
      <xdr:rowOff>0</xdr:rowOff>
    </xdr:to>
    <xdr:cxnSp macro="">
      <xdr:nvCxnSpPr>
        <xdr:cNvPr id="45" name="直線矢印コネクタ 44">
          <a:extLst>
            <a:ext uri="{FF2B5EF4-FFF2-40B4-BE49-F238E27FC236}">
              <a16:creationId xmlns:a16="http://schemas.microsoft.com/office/drawing/2014/main" id="{E6A71831-E6E5-4C22-9CC5-E012BD42C3A4}"/>
            </a:ext>
            <a:ext uri="{147F2762-F138-4A5C-976F-8EAC2B608ADB}">
              <a16:predDERef xmlns:a16="http://schemas.microsoft.com/office/drawing/2014/main" pred="{00000000-0008-0000-0300-00006E000000}"/>
            </a:ext>
          </a:extLst>
        </xdr:cNvPr>
        <xdr:cNvCxnSpPr>
          <a:cxnSpLocks/>
        </xdr:cNvCxnSpPr>
      </xdr:nvCxnSpPr>
      <xdr:spPr>
        <a:xfrm>
          <a:off x="4787900" y="8280400"/>
          <a:ext cx="9207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0</xdr:colOff>
      <xdr:row>52</xdr:row>
      <xdr:rowOff>158750</xdr:rowOff>
    </xdr:from>
    <xdr:to>
      <xdr:col>42</xdr:col>
      <xdr:colOff>6351</xdr:colOff>
      <xdr:row>53</xdr:row>
      <xdr:rowOff>0</xdr:rowOff>
    </xdr:to>
    <xdr:cxnSp macro="">
      <xdr:nvCxnSpPr>
        <xdr:cNvPr id="52" name="直線矢印コネクタ 51">
          <a:extLst>
            <a:ext uri="{FF2B5EF4-FFF2-40B4-BE49-F238E27FC236}">
              <a16:creationId xmlns:a16="http://schemas.microsoft.com/office/drawing/2014/main" id="{8A95DE87-65AB-4009-BB81-1596F8C59163}"/>
            </a:ext>
            <a:ext uri="{147F2762-F138-4A5C-976F-8EAC2B608ADB}">
              <a16:predDERef xmlns:a16="http://schemas.microsoft.com/office/drawing/2014/main" pred="{00000000-0008-0000-0300-00006E000000}"/>
            </a:ext>
          </a:extLst>
        </xdr:cNvPr>
        <xdr:cNvCxnSpPr>
          <a:cxnSpLocks/>
        </xdr:cNvCxnSpPr>
      </xdr:nvCxnSpPr>
      <xdr:spPr>
        <a:xfrm flipH="1">
          <a:off x="6813550" y="8782050"/>
          <a:ext cx="1111251" cy="12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53</xdr:row>
      <xdr:rowOff>12700</xdr:rowOff>
    </xdr:from>
    <xdr:to>
      <xdr:col>31</xdr:col>
      <xdr:colOff>0</xdr:colOff>
      <xdr:row>53</xdr:row>
      <xdr:rowOff>12700</xdr:rowOff>
    </xdr:to>
    <xdr:cxnSp macro="">
      <xdr:nvCxnSpPr>
        <xdr:cNvPr id="54" name="直線矢印コネクタ 53">
          <a:extLst>
            <a:ext uri="{FF2B5EF4-FFF2-40B4-BE49-F238E27FC236}">
              <a16:creationId xmlns:a16="http://schemas.microsoft.com/office/drawing/2014/main" id="{97D54304-3DD3-4F7D-875A-3EF1B14065E0}"/>
            </a:ext>
            <a:ext uri="{147F2762-F138-4A5C-976F-8EAC2B608ADB}">
              <a16:predDERef xmlns:a16="http://schemas.microsoft.com/office/drawing/2014/main" pred="{00000000-0008-0000-0300-00006E000000}"/>
            </a:ext>
          </a:extLst>
        </xdr:cNvPr>
        <xdr:cNvCxnSpPr>
          <a:cxnSpLocks/>
        </xdr:cNvCxnSpPr>
      </xdr:nvCxnSpPr>
      <xdr:spPr>
        <a:xfrm flipH="1">
          <a:off x="4787900" y="8807450"/>
          <a:ext cx="9207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59</xdr:row>
      <xdr:rowOff>0</xdr:rowOff>
    </xdr:from>
    <xdr:to>
      <xdr:col>31</xdr:col>
      <xdr:colOff>0</xdr:colOff>
      <xdr:row>59</xdr:row>
      <xdr:rowOff>0</xdr:rowOff>
    </xdr:to>
    <xdr:cxnSp macro="">
      <xdr:nvCxnSpPr>
        <xdr:cNvPr id="58" name="直線矢印コネクタ 57">
          <a:extLst>
            <a:ext uri="{FF2B5EF4-FFF2-40B4-BE49-F238E27FC236}">
              <a16:creationId xmlns:a16="http://schemas.microsoft.com/office/drawing/2014/main" id="{EA94A997-7541-4EEE-8B59-5AABA682446E}"/>
            </a:ext>
            <a:ext uri="{147F2762-F138-4A5C-976F-8EAC2B608ADB}">
              <a16:predDERef xmlns:a16="http://schemas.microsoft.com/office/drawing/2014/main" pred="{00000000-0008-0000-0300-00006E000000}"/>
            </a:ext>
          </a:extLst>
        </xdr:cNvPr>
        <xdr:cNvCxnSpPr>
          <a:cxnSpLocks/>
        </xdr:cNvCxnSpPr>
      </xdr:nvCxnSpPr>
      <xdr:spPr>
        <a:xfrm>
          <a:off x="4787900" y="9728200"/>
          <a:ext cx="9207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60</xdr:row>
      <xdr:rowOff>139700</xdr:rowOff>
    </xdr:from>
    <xdr:to>
      <xdr:col>31</xdr:col>
      <xdr:colOff>0</xdr:colOff>
      <xdr:row>60</xdr:row>
      <xdr:rowOff>139700</xdr:rowOff>
    </xdr:to>
    <xdr:cxnSp macro="">
      <xdr:nvCxnSpPr>
        <xdr:cNvPr id="33" name="直線矢印コネクタ 32">
          <a:extLst>
            <a:ext uri="{FF2B5EF4-FFF2-40B4-BE49-F238E27FC236}">
              <a16:creationId xmlns:a16="http://schemas.microsoft.com/office/drawing/2014/main" id="{497EE7AE-8D08-45EA-BE5B-83D53B4AF2F8}"/>
            </a:ext>
            <a:ext uri="{147F2762-F138-4A5C-976F-8EAC2B608ADB}">
              <a16:predDERef xmlns:a16="http://schemas.microsoft.com/office/drawing/2014/main" pred="{00000000-0008-0000-0300-00006E000000}"/>
            </a:ext>
          </a:extLst>
        </xdr:cNvPr>
        <xdr:cNvCxnSpPr>
          <a:cxnSpLocks/>
        </xdr:cNvCxnSpPr>
      </xdr:nvCxnSpPr>
      <xdr:spPr>
        <a:xfrm flipH="1">
          <a:off x="4787900" y="10039350"/>
          <a:ext cx="9207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0</xdr:colOff>
      <xdr:row>59</xdr:row>
      <xdr:rowOff>0</xdr:rowOff>
    </xdr:from>
    <xdr:to>
      <xdr:col>42</xdr:col>
      <xdr:colOff>0</xdr:colOff>
      <xdr:row>59</xdr:row>
      <xdr:rowOff>0</xdr:rowOff>
    </xdr:to>
    <xdr:cxnSp macro="">
      <xdr:nvCxnSpPr>
        <xdr:cNvPr id="38" name="直線矢印コネクタ 37">
          <a:extLst>
            <a:ext uri="{FF2B5EF4-FFF2-40B4-BE49-F238E27FC236}">
              <a16:creationId xmlns:a16="http://schemas.microsoft.com/office/drawing/2014/main" id="{082F820E-629C-4764-8D55-21ED4B416F54}"/>
            </a:ext>
            <a:ext uri="{147F2762-F138-4A5C-976F-8EAC2B608ADB}">
              <a16:predDERef xmlns:a16="http://schemas.microsoft.com/office/drawing/2014/main" pred="{00000000-0008-0000-0300-00006E000000}"/>
            </a:ext>
          </a:extLst>
        </xdr:cNvPr>
        <xdr:cNvCxnSpPr>
          <a:cxnSpLocks/>
        </xdr:cNvCxnSpPr>
      </xdr:nvCxnSpPr>
      <xdr:spPr>
        <a:xfrm>
          <a:off x="6813550" y="9728200"/>
          <a:ext cx="9207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68</xdr:row>
      <xdr:rowOff>0</xdr:rowOff>
    </xdr:from>
    <xdr:to>
      <xdr:col>31</xdr:col>
      <xdr:colOff>0</xdr:colOff>
      <xdr:row>68</xdr:row>
      <xdr:rowOff>0</xdr:rowOff>
    </xdr:to>
    <xdr:cxnSp macro="">
      <xdr:nvCxnSpPr>
        <xdr:cNvPr id="39" name="直線矢印コネクタ 38">
          <a:extLst>
            <a:ext uri="{FF2B5EF4-FFF2-40B4-BE49-F238E27FC236}">
              <a16:creationId xmlns:a16="http://schemas.microsoft.com/office/drawing/2014/main" id="{A8E86C18-FACB-45D9-AF41-34303D683A91}"/>
            </a:ext>
            <a:ext uri="{147F2762-F138-4A5C-976F-8EAC2B608ADB}">
              <a16:predDERef xmlns:a16="http://schemas.microsoft.com/office/drawing/2014/main" pred="{00000000-0008-0000-0300-00006E000000}"/>
            </a:ext>
          </a:extLst>
        </xdr:cNvPr>
        <xdr:cNvCxnSpPr>
          <a:cxnSpLocks/>
        </xdr:cNvCxnSpPr>
      </xdr:nvCxnSpPr>
      <xdr:spPr>
        <a:xfrm>
          <a:off x="4787900" y="11137900"/>
          <a:ext cx="9207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0</xdr:colOff>
      <xdr:row>68</xdr:row>
      <xdr:rowOff>0</xdr:rowOff>
    </xdr:from>
    <xdr:to>
      <xdr:col>50</xdr:col>
      <xdr:colOff>0</xdr:colOff>
      <xdr:row>68</xdr:row>
      <xdr:rowOff>0</xdr:rowOff>
    </xdr:to>
    <xdr:cxnSp macro="">
      <xdr:nvCxnSpPr>
        <xdr:cNvPr id="40" name="コネクタ: カギ線 69">
          <a:extLst>
            <a:ext uri="{FF2B5EF4-FFF2-40B4-BE49-F238E27FC236}">
              <a16:creationId xmlns:a16="http://schemas.microsoft.com/office/drawing/2014/main" id="{48A3F211-AFA0-40E0-8E6A-59837AEF8F2D}"/>
            </a:ext>
          </a:extLst>
        </xdr:cNvPr>
        <xdr:cNvCxnSpPr>
          <a:cxnSpLocks/>
        </xdr:cNvCxnSpPr>
      </xdr:nvCxnSpPr>
      <xdr:spPr>
        <a:xfrm>
          <a:off x="8839200" y="11137900"/>
          <a:ext cx="3683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19050</xdr:colOff>
      <xdr:row>69</xdr:row>
      <xdr:rowOff>139700</xdr:rowOff>
    </xdr:from>
    <xdr:to>
      <xdr:col>31</xdr:col>
      <xdr:colOff>19052</xdr:colOff>
      <xdr:row>69</xdr:row>
      <xdr:rowOff>139702</xdr:rowOff>
    </xdr:to>
    <xdr:cxnSp macro="">
      <xdr:nvCxnSpPr>
        <xdr:cNvPr id="42" name="コネクタ: カギ線 69">
          <a:extLst>
            <a:ext uri="{FF2B5EF4-FFF2-40B4-BE49-F238E27FC236}">
              <a16:creationId xmlns:a16="http://schemas.microsoft.com/office/drawing/2014/main" id="{F4A091BA-8A97-4D39-A50C-DBE481B28F3A}"/>
            </a:ext>
          </a:extLst>
        </xdr:cNvPr>
        <xdr:cNvCxnSpPr>
          <a:cxnSpLocks/>
        </xdr:cNvCxnSpPr>
      </xdr:nvCxnSpPr>
      <xdr:spPr>
        <a:xfrm rot="10800000">
          <a:off x="4806950" y="11487150"/>
          <a:ext cx="920752" cy="2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0</xdr:colOff>
      <xdr:row>74</xdr:row>
      <xdr:rowOff>139700</xdr:rowOff>
    </xdr:from>
    <xdr:to>
      <xdr:col>42</xdr:col>
      <xdr:colOff>0</xdr:colOff>
      <xdr:row>74</xdr:row>
      <xdr:rowOff>139700</xdr:rowOff>
    </xdr:to>
    <xdr:cxnSp macro="">
      <xdr:nvCxnSpPr>
        <xdr:cNvPr id="43" name="直線矢印コネクタ 42">
          <a:extLst>
            <a:ext uri="{FF2B5EF4-FFF2-40B4-BE49-F238E27FC236}">
              <a16:creationId xmlns:a16="http://schemas.microsoft.com/office/drawing/2014/main" id="{395531BC-714D-44C3-BBBD-E16BF3977B59}"/>
            </a:ext>
            <a:ext uri="{147F2762-F138-4A5C-976F-8EAC2B608ADB}">
              <a16:predDERef xmlns:a16="http://schemas.microsoft.com/office/drawing/2014/main" pred="{00000000-0008-0000-0300-00006E000000}"/>
            </a:ext>
          </a:extLst>
        </xdr:cNvPr>
        <xdr:cNvCxnSpPr>
          <a:cxnSpLocks/>
        </xdr:cNvCxnSpPr>
      </xdr:nvCxnSpPr>
      <xdr:spPr>
        <a:xfrm>
          <a:off x="6813550" y="12363450"/>
          <a:ext cx="9207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0</xdr:colOff>
      <xdr:row>77</xdr:row>
      <xdr:rowOff>0</xdr:rowOff>
    </xdr:from>
    <xdr:to>
      <xdr:col>42</xdr:col>
      <xdr:colOff>0</xdr:colOff>
      <xdr:row>77</xdr:row>
      <xdr:rowOff>0</xdr:rowOff>
    </xdr:to>
    <xdr:cxnSp macro="">
      <xdr:nvCxnSpPr>
        <xdr:cNvPr id="46" name="直線矢印コネクタ 45">
          <a:extLst>
            <a:ext uri="{FF2B5EF4-FFF2-40B4-BE49-F238E27FC236}">
              <a16:creationId xmlns:a16="http://schemas.microsoft.com/office/drawing/2014/main" id="{846BBE29-8C5F-44F8-9B59-E2533ED7F610}"/>
            </a:ext>
            <a:ext uri="{147F2762-F138-4A5C-976F-8EAC2B608ADB}">
              <a16:predDERef xmlns:a16="http://schemas.microsoft.com/office/drawing/2014/main" pred="{00000000-0008-0000-0300-00006E000000}"/>
            </a:ext>
          </a:extLst>
        </xdr:cNvPr>
        <xdr:cNvCxnSpPr>
          <a:cxnSpLocks/>
        </xdr:cNvCxnSpPr>
      </xdr:nvCxnSpPr>
      <xdr:spPr>
        <a:xfrm flipH="1">
          <a:off x="6813550" y="12738100"/>
          <a:ext cx="9207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77</xdr:row>
      <xdr:rowOff>0</xdr:rowOff>
    </xdr:from>
    <xdr:to>
      <xdr:col>31</xdr:col>
      <xdr:colOff>0</xdr:colOff>
      <xdr:row>77</xdr:row>
      <xdr:rowOff>0</xdr:rowOff>
    </xdr:to>
    <xdr:cxnSp macro="">
      <xdr:nvCxnSpPr>
        <xdr:cNvPr id="48" name="直線矢印コネクタ 47">
          <a:extLst>
            <a:ext uri="{FF2B5EF4-FFF2-40B4-BE49-F238E27FC236}">
              <a16:creationId xmlns:a16="http://schemas.microsoft.com/office/drawing/2014/main" id="{02BF03B5-479A-4623-8583-968DF49CF5CD}"/>
            </a:ext>
            <a:ext uri="{147F2762-F138-4A5C-976F-8EAC2B608ADB}">
              <a16:predDERef xmlns:a16="http://schemas.microsoft.com/office/drawing/2014/main" pred="{00000000-0008-0000-0300-00006E000000}"/>
            </a:ext>
          </a:extLst>
        </xdr:cNvPr>
        <xdr:cNvCxnSpPr>
          <a:cxnSpLocks/>
        </xdr:cNvCxnSpPr>
      </xdr:nvCxnSpPr>
      <xdr:spPr>
        <a:xfrm flipH="1">
          <a:off x="4787900" y="12738100"/>
          <a:ext cx="9207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83</xdr:row>
      <xdr:rowOff>0</xdr:rowOff>
    </xdr:from>
    <xdr:to>
      <xdr:col>31</xdr:col>
      <xdr:colOff>0</xdr:colOff>
      <xdr:row>83</xdr:row>
      <xdr:rowOff>0</xdr:rowOff>
    </xdr:to>
    <xdr:cxnSp macro="">
      <xdr:nvCxnSpPr>
        <xdr:cNvPr id="49" name="直線矢印コネクタ 48">
          <a:extLst>
            <a:ext uri="{FF2B5EF4-FFF2-40B4-BE49-F238E27FC236}">
              <a16:creationId xmlns:a16="http://schemas.microsoft.com/office/drawing/2014/main" id="{2950AEF8-88C8-440B-B1D3-F148E6B16238}"/>
            </a:ext>
            <a:ext uri="{147F2762-F138-4A5C-976F-8EAC2B608ADB}">
              <a16:predDERef xmlns:a16="http://schemas.microsoft.com/office/drawing/2014/main" pred="{00000000-0008-0000-0300-00006E000000}"/>
            </a:ext>
          </a:extLst>
        </xdr:cNvPr>
        <xdr:cNvCxnSpPr>
          <a:cxnSpLocks/>
        </xdr:cNvCxnSpPr>
      </xdr:nvCxnSpPr>
      <xdr:spPr>
        <a:xfrm>
          <a:off x="4787900" y="13595350"/>
          <a:ext cx="9207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84</xdr:row>
      <xdr:rowOff>127000</xdr:rowOff>
    </xdr:from>
    <xdr:to>
      <xdr:col>31</xdr:col>
      <xdr:colOff>0</xdr:colOff>
      <xdr:row>84</xdr:row>
      <xdr:rowOff>127000</xdr:rowOff>
    </xdr:to>
    <xdr:cxnSp macro="">
      <xdr:nvCxnSpPr>
        <xdr:cNvPr id="50" name="直線矢印コネクタ 49">
          <a:extLst>
            <a:ext uri="{FF2B5EF4-FFF2-40B4-BE49-F238E27FC236}">
              <a16:creationId xmlns:a16="http://schemas.microsoft.com/office/drawing/2014/main" id="{ED568609-66FC-4A47-BA87-8D8DBEB341E0}"/>
            </a:ext>
            <a:ext uri="{147F2762-F138-4A5C-976F-8EAC2B608ADB}">
              <a16:predDERef xmlns:a16="http://schemas.microsoft.com/office/drawing/2014/main" pred="{00000000-0008-0000-0300-00006E000000}"/>
            </a:ext>
          </a:extLst>
        </xdr:cNvPr>
        <xdr:cNvCxnSpPr>
          <a:cxnSpLocks/>
        </xdr:cNvCxnSpPr>
      </xdr:nvCxnSpPr>
      <xdr:spPr>
        <a:xfrm flipH="1">
          <a:off x="4787900" y="13893800"/>
          <a:ext cx="9207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87</xdr:row>
      <xdr:rowOff>0</xdr:rowOff>
    </xdr:from>
    <xdr:to>
      <xdr:col>31</xdr:col>
      <xdr:colOff>0</xdr:colOff>
      <xdr:row>87</xdr:row>
      <xdr:rowOff>0</xdr:rowOff>
    </xdr:to>
    <xdr:cxnSp macro="">
      <xdr:nvCxnSpPr>
        <xdr:cNvPr id="51" name="直線矢印コネクタ 50">
          <a:extLst>
            <a:ext uri="{FF2B5EF4-FFF2-40B4-BE49-F238E27FC236}">
              <a16:creationId xmlns:a16="http://schemas.microsoft.com/office/drawing/2014/main" id="{E39941E0-9517-4F4B-A605-9F4447761CBF}"/>
            </a:ext>
            <a:ext uri="{147F2762-F138-4A5C-976F-8EAC2B608ADB}">
              <a16:predDERef xmlns:a16="http://schemas.microsoft.com/office/drawing/2014/main" pred="{00000000-0008-0000-0300-00006E000000}"/>
            </a:ext>
          </a:extLst>
        </xdr:cNvPr>
        <xdr:cNvCxnSpPr>
          <a:cxnSpLocks/>
        </xdr:cNvCxnSpPr>
      </xdr:nvCxnSpPr>
      <xdr:spPr>
        <a:xfrm flipH="1">
          <a:off x="4787900" y="14281150"/>
          <a:ext cx="9207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40</xdr:row>
      <xdr:rowOff>0</xdr:rowOff>
    </xdr:from>
    <xdr:to>
      <xdr:col>31</xdr:col>
      <xdr:colOff>0</xdr:colOff>
      <xdr:row>40</xdr:row>
      <xdr:rowOff>0</xdr:rowOff>
    </xdr:to>
    <xdr:cxnSp macro="">
      <xdr:nvCxnSpPr>
        <xdr:cNvPr id="53" name="直線矢印コネクタ 52">
          <a:extLst>
            <a:ext uri="{FF2B5EF4-FFF2-40B4-BE49-F238E27FC236}">
              <a16:creationId xmlns:a16="http://schemas.microsoft.com/office/drawing/2014/main" id="{66B4EA44-51F2-4BF9-9F92-B1626626C7AE}"/>
            </a:ext>
            <a:ext uri="{147F2762-F138-4A5C-976F-8EAC2B608ADB}">
              <a16:predDERef xmlns:a16="http://schemas.microsoft.com/office/drawing/2014/main" pred="{00000000-0008-0000-0300-00006E000000}"/>
            </a:ext>
          </a:extLst>
        </xdr:cNvPr>
        <xdr:cNvCxnSpPr>
          <a:cxnSpLocks/>
        </xdr:cNvCxnSpPr>
      </xdr:nvCxnSpPr>
      <xdr:spPr>
        <a:xfrm>
          <a:off x="1473200" y="7042150"/>
          <a:ext cx="42354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48</xdr:row>
      <xdr:rowOff>0</xdr:rowOff>
    </xdr:from>
    <xdr:to>
      <xdr:col>31</xdr:col>
      <xdr:colOff>0</xdr:colOff>
      <xdr:row>48</xdr:row>
      <xdr:rowOff>0</xdr:rowOff>
    </xdr:to>
    <xdr:cxnSp macro="">
      <xdr:nvCxnSpPr>
        <xdr:cNvPr id="55" name="直線矢印コネクタ 54">
          <a:extLst>
            <a:ext uri="{FF2B5EF4-FFF2-40B4-BE49-F238E27FC236}">
              <a16:creationId xmlns:a16="http://schemas.microsoft.com/office/drawing/2014/main" id="{D6C68B31-54D4-45D1-8946-3F2127ED0FF8}"/>
            </a:ext>
            <a:ext uri="{147F2762-F138-4A5C-976F-8EAC2B608ADB}">
              <a16:predDERef xmlns:a16="http://schemas.microsoft.com/office/drawing/2014/main" pred="{00000000-0008-0000-0300-00006E000000}"/>
            </a:ext>
          </a:extLst>
        </xdr:cNvPr>
        <xdr:cNvCxnSpPr>
          <a:cxnSpLocks/>
        </xdr:cNvCxnSpPr>
      </xdr:nvCxnSpPr>
      <xdr:spPr>
        <a:xfrm>
          <a:off x="1473200" y="8451850"/>
          <a:ext cx="42354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57</xdr:row>
      <xdr:rowOff>0</xdr:rowOff>
    </xdr:from>
    <xdr:to>
      <xdr:col>31</xdr:col>
      <xdr:colOff>0</xdr:colOff>
      <xdr:row>57</xdr:row>
      <xdr:rowOff>0</xdr:rowOff>
    </xdr:to>
    <xdr:cxnSp macro="">
      <xdr:nvCxnSpPr>
        <xdr:cNvPr id="56" name="直線矢印コネクタ 55">
          <a:extLst>
            <a:ext uri="{FF2B5EF4-FFF2-40B4-BE49-F238E27FC236}">
              <a16:creationId xmlns:a16="http://schemas.microsoft.com/office/drawing/2014/main" id="{370600CD-574C-423B-B1A1-7919946A8208}"/>
            </a:ext>
            <a:ext uri="{147F2762-F138-4A5C-976F-8EAC2B608ADB}">
              <a16:predDERef xmlns:a16="http://schemas.microsoft.com/office/drawing/2014/main" pred="{00000000-0008-0000-0300-00006E000000}"/>
            </a:ext>
          </a:extLst>
        </xdr:cNvPr>
        <xdr:cNvCxnSpPr>
          <a:cxnSpLocks/>
        </xdr:cNvCxnSpPr>
      </xdr:nvCxnSpPr>
      <xdr:spPr>
        <a:xfrm>
          <a:off x="1473200" y="10071100"/>
          <a:ext cx="42354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66</xdr:row>
      <xdr:rowOff>0</xdr:rowOff>
    </xdr:from>
    <xdr:to>
      <xdr:col>31</xdr:col>
      <xdr:colOff>0</xdr:colOff>
      <xdr:row>66</xdr:row>
      <xdr:rowOff>0</xdr:rowOff>
    </xdr:to>
    <xdr:cxnSp macro="">
      <xdr:nvCxnSpPr>
        <xdr:cNvPr id="57" name="直線矢印コネクタ 56">
          <a:extLst>
            <a:ext uri="{FF2B5EF4-FFF2-40B4-BE49-F238E27FC236}">
              <a16:creationId xmlns:a16="http://schemas.microsoft.com/office/drawing/2014/main" id="{D2B236AE-8CE9-4676-932D-76F877E9CA25}"/>
            </a:ext>
            <a:ext uri="{147F2762-F138-4A5C-976F-8EAC2B608ADB}">
              <a16:predDERef xmlns:a16="http://schemas.microsoft.com/office/drawing/2014/main" pred="{00000000-0008-0000-0300-00006E000000}"/>
            </a:ext>
          </a:extLst>
        </xdr:cNvPr>
        <xdr:cNvCxnSpPr>
          <a:cxnSpLocks/>
        </xdr:cNvCxnSpPr>
      </xdr:nvCxnSpPr>
      <xdr:spPr>
        <a:xfrm>
          <a:off x="1473200" y="11652250"/>
          <a:ext cx="42354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81</xdr:row>
      <xdr:rowOff>12700</xdr:rowOff>
    </xdr:from>
    <xdr:to>
      <xdr:col>31</xdr:col>
      <xdr:colOff>0</xdr:colOff>
      <xdr:row>81</xdr:row>
      <xdr:rowOff>12700</xdr:rowOff>
    </xdr:to>
    <xdr:cxnSp macro="">
      <xdr:nvCxnSpPr>
        <xdr:cNvPr id="59" name="直線矢印コネクタ 58">
          <a:extLst>
            <a:ext uri="{FF2B5EF4-FFF2-40B4-BE49-F238E27FC236}">
              <a16:creationId xmlns:a16="http://schemas.microsoft.com/office/drawing/2014/main" id="{E8FBA601-A453-40C9-912D-A2CE7DF0C644}"/>
            </a:ext>
            <a:ext uri="{147F2762-F138-4A5C-976F-8EAC2B608ADB}">
              <a16:predDERef xmlns:a16="http://schemas.microsoft.com/office/drawing/2014/main" pred="{00000000-0008-0000-0300-00006E000000}"/>
            </a:ext>
          </a:extLst>
        </xdr:cNvPr>
        <xdr:cNvCxnSpPr>
          <a:cxnSpLocks/>
        </xdr:cNvCxnSpPr>
      </xdr:nvCxnSpPr>
      <xdr:spPr>
        <a:xfrm>
          <a:off x="1473200" y="14293850"/>
          <a:ext cx="42354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作成者" refreshedDate="44529.986417361113" createdVersion="6" refreshedVersion="6" minRefreshableVersion="3" recordCount="32" xr:uid="{A9E5249D-FAF1-4A3E-B892-BFA53B303735}">
  <cacheSource type="worksheet">
    <worksheetSource ref="B4:J36" sheet="元データ"/>
  </cacheSource>
  <cacheFields count="9">
    <cacheField name="業務分類" numFmtId="49">
      <sharedItems count="2">
        <s v="ポータル"/>
        <s v="カードデッキ"/>
      </sharedItems>
    </cacheField>
    <cacheField name="機能ID" numFmtId="49">
      <sharedItems count="20">
        <s v="BSPSFRPK01"/>
        <s v="BSPSFRPK02"/>
        <s v="BSPSFRPK03"/>
        <s v="BSPSFRPK04"/>
        <s v="BSPSFRPK05"/>
        <s v="BSPSFRPK06"/>
        <s v="BSPSFRPK07"/>
        <s v="BSPSFRPK08"/>
        <s v="BSPSFRPK09"/>
        <s v="BSPSFRPK10"/>
        <s v="BSPSFRPK11"/>
        <s v="BSPSFRPK12"/>
        <s v="BSPSFRPK13"/>
        <s v="BSPSFRPK14"/>
        <s v="BSPSFRPK15"/>
        <s v="BSPSFRPK16"/>
        <s v="BSPSFRPK17"/>
        <s v="BSPSFRCD01"/>
        <s v="BSPSFRCD02"/>
        <s v="BSPSFRCD03"/>
      </sharedItems>
    </cacheField>
    <cacheField name="画面名" numFmtId="49">
      <sharedItems count="20">
        <s v="共通エリア"/>
        <s v="ログイン"/>
        <s v="新規会員登録入力"/>
        <s v="新規会員登録確認"/>
        <s v="新規会員登録完了"/>
        <s v="パスワード再発行"/>
        <s v="パスワード再発行完了"/>
        <s v="マイメニュー"/>
        <s v="お知らせ・通知一覧"/>
        <s v="お知らせ・通知詳細"/>
        <s v="対戦履歴"/>
        <s v="対戦履歴詳細"/>
        <s v="マイデッキ"/>
        <s v="マイフレンド"/>
        <s v="チャット"/>
        <s v="フレンド追加"/>
        <s v="マイプロフィール"/>
        <s v="サイトTOP"/>
        <s v="カード一覧"/>
        <s v="カード詳細"/>
      </sharedItems>
    </cacheField>
    <cacheField name="画面間/画面内" numFmtId="0">
      <sharedItems containsBlank="1"/>
    </cacheField>
    <cacheField name="イベントID" numFmtId="0">
      <sharedItems containsBlank="1" count="13">
        <s v="BSPSFRPK01_BS01"/>
        <s v="BSPSFRPK01_BS02"/>
        <s v="BSPSFRPK01_BS03"/>
        <s v="BSPSFRPK01_BS04"/>
        <s v="BSPSFRPK01_BS05"/>
        <s v="BSPSFRPK01_BS06"/>
        <s v="BSPSFRPK01_BS07"/>
        <s v="BSPSFRPK01_BS08"/>
        <s v="BSPSFRPK01_BS09"/>
        <s v="BSPSFRPK01_BS10"/>
        <s v="BSPSFRPK01_BS11"/>
        <s v="BSPSFRPK01_IS01"/>
        <m/>
      </sharedItems>
    </cacheField>
    <cacheField name="イベント名" numFmtId="0">
      <sharedItems containsBlank="1" count="13">
        <s v="共通エリア初期表示"/>
        <s v="サイトTOP遷移"/>
        <s v="ログイン遷移"/>
        <s v="マイメニュー遷移"/>
        <s v="お知らせ遷移"/>
        <s v="マイデッキ遷移"/>
        <s v="対戦履歴遷移"/>
        <s v="マイフレンド遷移"/>
        <s v="マイプロフィール遷移"/>
        <s v="ログアウト"/>
        <s v="カード検索"/>
        <s v="ユーザーメニューを表示/非表示"/>
        <m/>
      </sharedItems>
    </cacheField>
    <cacheField name="遷移先画面" numFmtId="0">
      <sharedItems containsBlank="1"/>
    </cacheField>
    <cacheField name="APIID" numFmtId="0">
      <sharedItems containsBlank="1" count="4">
        <s v="BSPSAPPK01"/>
        <s v="BSPSAPCD01"/>
        <s v="-"/>
        <m/>
      </sharedItems>
    </cacheField>
    <cacheField name="呼び出しAPI" numFmtId="0">
      <sharedItems containsBlank="1" count="4">
        <s v="ユーザー取得API"/>
        <s v="カード検索用リスト取得API"/>
        <s v="-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x v="0"/>
    <x v="0"/>
    <x v="0"/>
    <s v="画面間"/>
    <x v="0"/>
    <x v="0"/>
    <s v="-"/>
    <x v="0"/>
    <x v="0"/>
  </r>
  <r>
    <x v="0"/>
    <x v="0"/>
    <x v="0"/>
    <s v="画面間"/>
    <x v="0"/>
    <x v="0"/>
    <s v="-"/>
    <x v="1"/>
    <x v="1"/>
  </r>
  <r>
    <x v="0"/>
    <x v="0"/>
    <x v="0"/>
    <s v="画面間"/>
    <x v="1"/>
    <x v="1"/>
    <s v="サイトTOP"/>
    <x v="2"/>
    <x v="2"/>
  </r>
  <r>
    <x v="0"/>
    <x v="0"/>
    <x v="0"/>
    <s v="画面間"/>
    <x v="2"/>
    <x v="2"/>
    <s v="ログイン"/>
    <x v="2"/>
    <x v="2"/>
  </r>
  <r>
    <x v="0"/>
    <x v="0"/>
    <x v="0"/>
    <s v="画面間"/>
    <x v="3"/>
    <x v="3"/>
    <s v="マイメニュー"/>
    <x v="2"/>
    <x v="2"/>
  </r>
  <r>
    <x v="0"/>
    <x v="0"/>
    <x v="0"/>
    <s v="画面間"/>
    <x v="4"/>
    <x v="4"/>
    <s v="お知らせ・通知一覧"/>
    <x v="2"/>
    <x v="2"/>
  </r>
  <r>
    <x v="0"/>
    <x v="0"/>
    <x v="0"/>
    <s v="画面間"/>
    <x v="5"/>
    <x v="5"/>
    <s v="マイデッキ"/>
    <x v="2"/>
    <x v="2"/>
  </r>
  <r>
    <x v="0"/>
    <x v="0"/>
    <x v="0"/>
    <s v="画面間"/>
    <x v="6"/>
    <x v="6"/>
    <s v="対戦履歴一覧"/>
    <x v="2"/>
    <x v="2"/>
  </r>
  <r>
    <x v="0"/>
    <x v="0"/>
    <x v="0"/>
    <s v="画面間"/>
    <x v="7"/>
    <x v="7"/>
    <s v="マイフレンド一覧"/>
    <x v="2"/>
    <x v="2"/>
  </r>
  <r>
    <x v="0"/>
    <x v="0"/>
    <x v="0"/>
    <s v="画面間"/>
    <x v="8"/>
    <x v="8"/>
    <s v="マイプロフィール"/>
    <x v="2"/>
    <x v="2"/>
  </r>
  <r>
    <x v="0"/>
    <x v="0"/>
    <x v="0"/>
    <s v="画面間"/>
    <x v="9"/>
    <x v="9"/>
    <s v="ログアウト"/>
    <x v="2"/>
    <x v="2"/>
  </r>
  <r>
    <x v="0"/>
    <x v="0"/>
    <x v="0"/>
    <s v="画面間"/>
    <x v="10"/>
    <x v="10"/>
    <s v="カード一覧"/>
    <x v="2"/>
    <x v="2"/>
  </r>
  <r>
    <x v="0"/>
    <x v="0"/>
    <x v="0"/>
    <s v="画面内"/>
    <x v="11"/>
    <x v="11"/>
    <s v="-"/>
    <x v="2"/>
    <x v="2"/>
  </r>
  <r>
    <x v="0"/>
    <x v="1"/>
    <x v="1"/>
    <m/>
    <x v="12"/>
    <x v="12"/>
    <m/>
    <x v="3"/>
    <x v="3"/>
  </r>
  <r>
    <x v="0"/>
    <x v="2"/>
    <x v="2"/>
    <m/>
    <x v="12"/>
    <x v="12"/>
    <m/>
    <x v="3"/>
    <x v="3"/>
  </r>
  <r>
    <x v="0"/>
    <x v="3"/>
    <x v="3"/>
    <m/>
    <x v="12"/>
    <x v="12"/>
    <m/>
    <x v="3"/>
    <x v="3"/>
  </r>
  <r>
    <x v="0"/>
    <x v="4"/>
    <x v="4"/>
    <m/>
    <x v="12"/>
    <x v="12"/>
    <m/>
    <x v="3"/>
    <x v="3"/>
  </r>
  <r>
    <x v="0"/>
    <x v="5"/>
    <x v="5"/>
    <m/>
    <x v="12"/>
    <x v="12"/>
    <m/>
    <x v="3"/>
    <x v="3"/>
  </r>
  <r>
    <x v="0"/>
    <x v="6"/>
    <x v="6"/>
    <m/>
    <x v="12"/>
    <x v="12"/>
    <m/>
    <x v="3"/>
    <x v="3"/>
  </r>
  <r>
    <x v="0"/>
    <x v="7"/>
    <x v="7"/>
    <m/>
    <x v="12"/>
    <x v="12"/>
    <m/>
    <x v="3"/>
    <x v="3"/>
  </r>
  <r>
    <x v="0"/>
    <x v="8"/>
    <x v="8"/>
    <m/>
    <x v="12"/>
    <x v="12"/>
    <m/>
    <x v="3"/>
    <x v="3"/>
  </r>
  <r>
    <x v="0"/>
    <x v="9"/>
    <x v="9"/>
    <m/>
    <x v="12"/>
    <x v="12"/>
    <m/>
    <x v="3"/>
    <x v="3"/>
  </r>
  <r>
    <x v="0"/>
    <x v="10"/>
    <x v="10"/>
    <m/>
    <x v="12"/>
    <x v="12"/>
    <m/>
    <x v="3"/>
    <x v="3"/>
  </r>
  <r>
    <x v="0"/>
    <x v="11"/>
    <x v="11"/>
    <m/>
    <x v="12"/>
    <x v="12"/>
    <m/>
    <x v="3"/>
    <x v="3"/>
  </r>
  <r>
    <x v="0"/>
    <x v="12"/>
    <x v="12"/>
    <m/>
    <x v="12"/>
    <x v="12"/>
    <m/>
    <x v="3"/>
    <x v="3"/>
  </r>
  <r>
    <x v="0"/>
    <x v="13"/>
    <x v="13"/>
    <m/>
    <x v="12"/>
    <x v="12"/>
    <m/>
    <x v="3"/>
    <x v="3"/>
  </r>
  <r>
    <x v="0"/>
    <x v="14"/>
    <x v="14"/>
    <m/>
    <x v="12"/>
    <x v="12"/>
    <m/>
    <x v="3"/>
    <x v="3"/>
  </r>
  <r>
    <x v="0"/>
    <x v="15"/>
    <x v="15"/>
    <m/>
    <x v="12"/>
    <x v="12"/>
    <m/>
    <x v="3"/>
    <x v="3"/>
  </r>
  <r>
    <x v="0"/>
    <x v="16"/>
    <x v="16"/>
    <m/>
    <x v="12"/>
    <x v="12"/>
    <m/>
    <x v="3"/>
    <x v="3"/>
  </r>
  <r>
    <x v="1"/>
    <x v="17"/>
    <x v="17"/>
    <m/>
    <x v="12"/>
    <x v="12"/>
    <m/>
    <x v="3"/>
    <x v="3"/>
  </r>
  <r>
    <x v="1"/>
    <x v="18"/>
    <x v="18"/>
    <m/>
    <x v="12"/>
    <x v="12"/>
    <m/>
    <x v="3"/>
    <x v="3"/>
  </r>
  <r>
    <x v="1"/>
    <x v="19"/>
    <x v="19"/>
    <m/>
    <x v="12"/>
    <x v="12"/>
    <m/>
    <x v="3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D13A27-6F1C-45D3-93F4-751C086C5EE5}" name="ピボットテーブル2" cacheId="40" applyNumberFormats="0" applyBorderFormats="0" applyFontFormats="0" applyPatternFormats="0" applyAlignmentFormats="0" applyWidthHeightFormats="1" dataCaption="値" updatedVersion="6" minRefreshableVersion="3" useAutoFormatting="1" itemPrintTitles="1" createdVersion="6" indent="0" outline="1" outlineData="1" multipleFieldFilters="0" rowHeaderCaption="画面ID">
  <location ref="A3:G36" firstHeaderRow="1" firstDataRow="1" firstDataCol="7"/>
  <pivotFields count="9">
    <pivotField axis="axisRow" outline="0" showAll="0" defaultSubtotal="0">
      <items count="2">
        <item x="1"/>
        <item x="0"/>
      </items>
    </pivotField>
    <pivotField axis="axisRow" outline="0" showAll="0" defaultSubtotal="0">
      <items count="20">
        <item x="17"/>
        <item x="18"/>
        <item x="1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</items>
    </pivotField>
    <pivotField axis="axisRow" outline="0" showAll="0" defaultSubtotal="0">
      <items count="20">
        <item x="8"/>
        <item x="9"/>
        <item x="18"/>
        <item x="19"/>
        <item x="17"/>
        <item x="14"/>
        <item x="5"/>
        <item x="6"/>
        <item x="15"/>
        <item x="12"/>
        <item x="13"/>
        <item x="16"/>
        <item x="7"/>
        <item x="1"/>
        <item x="0"/>
        <item x="3"/>
        <item x="4"/>
        <item x="2"/>
        <item x="10"/>
        <item x="11"/>
      </items>
    </pivotField>
    <pivotField showAll="0"/>
    <pivotField axis="axisRow" outline="0" showAll="0" defaultSubtota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axis="axisRow" outline="0" showAll="0" defaultSubtotal="0">
      <items count="13">
        <item x="4"/>
        <item x="10"/>
        <item x="1"/>
        <item x="5"/>
        <item x="7"/>
        <item x="8"/>
        <item x="3"/>
        <item x="11"/>
        <item x="9"/>
        <item x="2"/>
        <item x="0"/>
        <item x="6"/>
        <item x="12"/>
      </items>
    </pivotField>
    <pivotField showAll="0"/>
    <pivotField axis="axisRow" outline="0" showAll="0" defaultSubtotal="0">
      <items count="4">
        <item x="2"/>
        <item x="3"/>
        <item x="0"/>
        <item x="1"/>
      </items>
    </pivotField>
    <pivotField axis="axisRow" outline="0" showAll="0" defaultSubtotal="0">
      <items count="4">
        <item x="2"/>
        <item x="1"/>
        <item x="3"/>
        <item x="0"/>
      </items>
    </pivotField>
  </pivotFields>
  <rowFields count="7">
    <field x="0"/>
    <field x="1"/>
    <field x="2"/>
    <field x="4"/>
    <field x="5"/>
    <field x="8"/>
    <field x="7"/>
  </rowFields>
  <rowItems count="33">
    <i>
      <x/>
      <x/>
      <x v="4"/>
      <x v="12"/>
      <x v="12"/>
      <x v="2"/>
      <x v="1"/>
    </i>
    <i r="1">
      <x v="1"/>
      <x v="2"/>
      <x v="12"/>
      <x v="12"/>
      <x v="2"/>
      <x v="1"/>
    </i>
    <i r="1">
      <x v="2"/>
      <x v="3"/>
      <x v="12"/>
      <x v="12"/>
      <x v="2"/>
      <x v="1"/>
    </i>
    <i>
      <x v="1"/>
      <x v="3"/>
      <x v="14"/>
      <x/>
      <x v="10"/>
      <x v="1"/>
      <x v="3"/>
    </i>
    <i r="5">
      <x v="3"/>
      <x v="2"/>
    </i>
    <i r="3">
      <x v="1"/>
      <x v="2"/>
      <x/>
      <x/>
    </i>
    <i r="3">
      <x v="2"/>
      <x v="9"/>
      <x/>
      <x/>
    </i>
    <i r="3">
      <x v="3"/>
      <x v="6"/>
      <x/>
      <x/>
    </i>
    <i r="3">
      <x v="4"/>
      <x/>
      <x/>
      <x/>
    </i>
    <i r="3">
      <x v="5"/>
      <x v="3"/>
      <x/>
      <x/>
    </i>
    <i r="3">
      <x v="6"/>
      <x v="11"/>
      <x/>
      <x/>
    </i>
    <i r="3">
      <x v="7"/>
      <x v="4"/>
      <x/>
      <x/>
    </i>
    <i r="3">
      <x v="8"/>
      <x v="5"/>
      <x/>
      <x/>
    </i>
    <i r="3">
      <x v="9"/>
      <x v="8"/>
      <x/>
      <x/>
    </i>
    <i r="3">
      <x v="10"/>
      <x v="1"/>
      <x/>
      <x/>
    </i>
    <i r="3">
      <x v="11"/>
      <x v="7"/>
      <x/>
      <x/>
    </i>
    <i r="1">
      <x v="4"/>
      <x v="13"/>
      <x v="12"/>
      <x v="12"/>
      <x v="2"/>
      <x v="1"/>
    </i>
    <i r="1">
      <x v="5"/>
      <x v="17"/>
      <x v="12"/>
      <x v="12"/>
      <x v="2"/>
      <x v="1"/>
    </i>
    <i r="1">
      <x v="6"/>
      <x v="15"/>
      <x v="12"/>
      <x v="12"/>
      <x v="2"/>
      <x v="1"/>
    </i>
    <i r="1">
      <x v="7"/>
      <x v="16"/>
      <x v="12"/>
      <x v="12"/>
      <x v="2"/>
      <x v="1"/>
    </i>
    <i r="1">
      <x v="8"/>
      <x v="6"/>
      <x v="12"/>
      <x v="12"/>
      <x v="2"/>
      <x v="1"/>
    </i>
    <i r="1">
      <x v="9"/>
      <x v="7"/>
      <x v="12"/>
      <x v="12"/>
      <x v="2"/>
      <x v="1"/>
    </i>
    <i r="1">
      <x v="10"/>
      <x v="12"/>
      <x v="12"/>
      <x v="12"/>
      <x v="2"/>
      <x v="1"/>
    </i>
    <i r="1">
      <x v="11"/>
      <x/>
      <x v="12"/>
      <x v="12"/>
      <x v="2"/>
      <x v="1"/>
    </i>
    <i r="1">
      <x v="12"/>
      <x v="1"/>
      <x v="12"/>
      <x v="12"/>
      <x v="2"/>
      <x v="1"/>
    </i>
    <i r="1">
      <x v="13"/>
      <x v="18"/>
      <x v="12"/>
      <x v="12"/>
      <x v="2"/>
      <x v="1"/>
    </i>
    <i r="1">
      <x v="14"/>
      <x v="19"/>
      <x v="12"/>
      <x v="12"/>
      <x v="2"/>
      <x v="1"/>
    </i>
    <i r="1">
      <x v="15"/>
      <x v="9"/>
      <x v="12"/>
      <x v="12"/>
      <x v="2"/>
      <x v="1"/>
    </i>
    <i r="1">
      <x v="16"/>
      <x v="10"/>
      <x v="12"/>
      <x v="12"/>
      <x v="2"/>
      <x v="1"/>
    </i>
    <i r="1">
      <x v="17"/>
      <x v="5"/>
      <x v="12"/>
      <x v="12"/>
      <x v="2"/>
      <x v="1"/>
    </i>
    <i r="1">
      <x v="18"/>
      <x v="8"/>
      <x v="12"/>
      <x v="12"/>
      <x v="2"/>
      <x v="1"/>
    </i>
    <i r="1">
      <x v="19"/>
      <x v="11"/>
      <x v="12"/>
      <x v="12"/>
      <x v="2"/>
      <x v="1"/>
    </i>
    <i t="grand">
      <x/>
    </i>
  </rowItems>
  <colItems count="1">
    <i/>
  </colItem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DD7633-DA60-4DEE-B024-BBE908D01237}" name="ピボットテーブル4" cacheId="40" applyNumberFormats="0" applyBorderFormats="0" applyFontFormats="0" applyPatternFormats="0" applyAlignmentFormats="0" applyWidthHeightFormats="1" dataCaption="値" updatedVersion="6" minRefreshableVersion="3" useAutoFormatting="1" itemPrintTitles="1" createdVersion="6" indent="0" outline="1" outlineData="1" multipleFieldFilters="0">
  <location ref="A3:AQ10" firstHeaderRow="1" firstDataRow="3" firstDataCol="2"/>
  <pivotFields count="9">
    <pivotField showAll="0"/>
    <pivotField axis="axisCol" showAll="0">
      <items count="21">
        <item x="17"/>
        <item x="18"/>
        <item x="1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axis="axisCol" showAll="0">
      <items count="21">
        <item x="8"/>
        <item x="9"/>
        <item x="18"/>
        <item x="19"/>
        <item x="17"/>
        <item x="14"/>
        <item x="5"/>
        <item x="6"/>
        <item x="15"/>
        <item x="12"/>
        <item x="13"/>
        <item x="16"/>
        <item x="7"/>
        <item x="1"/>
        <item x="0"/>
        <item x="3"/>
        <item x="4"/>
        <item x="2"/>
        <item x="10"/>
        <item x="11"/>
        <item t="default"/>
      </items>
    </pivotField>
    <pivotField showAll="0"/>
    <pivotField showAll="0"/>
    <pivotField showAll="0"/>
    <pivotField showAll="0"/>
    <pivotField axis="axisRow" outline="0" showAll="0" defaultSubtotal="0">
      <items count="4">
        <item x="2"/>
        <item x="1"/>
        <item x="0"/>
        <item x="3"/>
      </items>
    </pivotField>
    <pivotField axis="axisRow" showAll="0">
      <items count="5">
        <item x="2"/>
        <item x="1"/>
        <item x="0"/>
        <item x="3"/>
        <item t="default"/>
      </items>
    </pivotField>
  </pivotFields>
  <rowFields count="2">
    <field x="7"/>
    <field x="8"/>
  </rowFields>
  <rowItems count="5">
    <i>
      <x/>
      <x/>
    </i>
    <i>
      <x v="1"/>
      <x v="1"/>
    </i>
    <i>
      <x v="2"/>
      <x v="2"/>
    </i>
    <i>
      <x v="3"/>
      <x v="3"/>
    </i>
    <i t="grand">
      <x/>
    </i>
  </rowItems>
  <colFields count="2">
    <field x="2"/>
    <field x="1"/>
  </colFields>
  <colItems count="41">
    <i>
      <x/>
      <x v="11"/>
    </i>
    <i t="default">
      <x/>
    </i>
    <i>
      <x v="1"/>
      <x v="12"/>
    </i>
    <i t="default">
      <x v="1"/>
    </i>
    <i>
      <x v="2"/>
      <x v="1"/>
    </i>
    <i t="default">
      <x v="2"/>
    </i>
    <i>
      <x v="3"/>
      <x v="2"/>
    </i>
    <i t="default">
      <x v="3"/>
    </i>
    <i>
      <x v="4"/>
      <x/>
    </i>
    <i t="default">
      <x v="4"/>
    </i>
    <i>
      <x v="5"/>
      <x v="17"/>
    </i>
    <i t="default">
      <x v="5"/>
    </i>
    <i>
      <x v="6"/>
      <x v="8"/>
    </i>
    <i t="default">
      <x v="6"/>
    </i>
    <i>
      <x v="7"/>
      <x v="9"/>
    </i>
    <i t="default">
      <x v="7"/>
    </i>
    <i>
      <x v="8"/>
      <x v="18"/>
    </i>
    <i t="default">
      <x v="8"/>
    </i>
    <i>
      <x v="9"/>
      <x v="15"/>
    </i>
    <i t="default">
      <x v="9"/>
    </i>
    <i>
      <x v="10"/>
      <x v="16"/>
    </i>
    <i t="default">
      <x v="10"/>
    </i>
    <i>
      <x v="11"/>
      <x v="19"/>
    </i>
    <i t="default">
      <x v="11"/>
    </i>
    <i>
      <x v="12"/>
      <x v="10"/>
    </i>
    <i t="default">
      <x v="12"/>
    </i>
    <i>
      <x v="13"/>
      <x v="4"/>
    </i>
    <i t="default">
      <x v="13"/>
    </i>
    <i>
      <x v="14"/>
      <x v="3"/>
    </i>
    <i t="default">
      <x v="14"/>
    </i>
    <i>
      <x v="15"/>
      <x v="6"/>
    </i>
    <i t="default">
      <x v="15"/>
    </i>
    <i>
      <x v="16"/>
      <x v="7"/>
    </i>
    <i t="default">
      <x v="16"/>
    </i>
    <i>
      <x v="17"/>
      <x v="5"/>
    </i>
    <i t="default">
      <x v="17"/>
    </i>
    <i>
      <x v="18"/>
      <x v="13"/>
    </i>
    <i t="default">
      <x v="18"/>
    </i>
    <i>
      <x v="19"/>
      <x v="14"/>
    </i>
    <i t="default">
      <x v="19"/>
    </i>
    <i t="grand">
      <x/>
    </i>
  </colItem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F14"/>
  <sheetViews>
    <sheetView showGridLines="0" view="pageBreakPreview" zoomScale="115" zoomScaleNormal="100" zoomScaleSheetLayoutView="115" workbookViewId="0"/>
  </sheetViews>
  <sheetFormatPr defaultColWidth="2.453125" defaultRowHeight="13" x14ac:dyDescent="0.2"/>
  <cols>
    <col min="1" max="16384" width="2.453125" style="1"/>
  </cols>
  <sheetData>
    <row r="2" spans="2:32" ht="13.5" customHeight="1" x14ac:dyDescent="0.2"/>
    <row r="3" spans="2:32" ht="13.5" customHeight="1" x14ac:dyDescent="0.2">
      <c r="B3" s="1" t="s">
        <v>122</v>
      </c>
    </row>
    <row r="4" spans="2:32" ht="13.5" customHeight="1" x14ac:dyDescent="0.2"/>
    <row r="5" spans="2:32" x14ac:dyDescent="0.2">
      <c r="B5" s="68" t="s">
        <v>0</v>
      </c>
      <c r="C5" s="68"/>
      <c r="D5" s="68"/>
      <c r="E5" s="68"/>
      <c r="F5" s="68"/>
      <c r="G5" s="68"/>
      <c r="H5" s="73" t="s">
        <v>124</v>
      </c>
      <c r="I5" s="74"/>
      <c r="J5" s="74"/>
      <c r="K5" s="74"/>
      <c r="L5" s="74"/>
      <c r="M5" s="68" t="s">
        <v>1</v>
      </c>
      <c r="N5" s="68"/>
      <c r="O5" s="68"/>
      <c r="P5" s="68"/>
      <c r="Q5" s="68"/>
      <c r="R5" s="68"/>
      <c r="S5" s="68"/>
      <c r="T5" s="73" t="s">
        <v>168</v>
      </c>
      <c r="U5" s="74"/>
      <c r="V5" s="74"/>
      <c r="W5" s="74"/>
      <c r="X5" s="74"/>
      <c r="Y5" s="74"/>
      <c r="Z5" s="74"/>
      <c r="AA5" s="74"/>
      <c r="AB5" s="74"/>
      <c r="AC5" s="74"/>
      <c r="AD5" s="74"/>
      <c r="AE5" s="74"/>
      <c r="AF5" s="75"/>
    </row>
    <row r="6" spans="2:32" x14ac:dyDescent="0.2">
      <c r="B6" s="68" t="s">
        <v>2</v>
      </c>
      <c r="C6" s="68"/>
      <c r="D6" s="68"/>
      <c r="E6" s="68"/>
      <c r="F6" s="68"/>
      <c r="G6" s="68"/>
      <c r="H6" s="73" t="s">
        <v>3</v>
      </c>
      <c r="I6" s="74"/>
      <c r="J6" s="74"/>
      <c r="K6" s="74"/>
      <c r="L6" s="74"/>
      <c r="M6" s="68" t="s">
        <v>4</v>
      </c>
      <c r="N6" s="68"/>
      <c r="O6" s="68"/>
      <c r="P6" s="68"/>
      <c r="Q6" s="68"/>
      <c r="R6" s="68"/>
      <c r="S6" s="68"/>
      <c r="T6" s="73" t="s">
        <v>3</v>
      </c>
      <c r="U6" s="74"/>
      <c r="V6" s="74"/>
      <c r="W6" s="74"/>
      <c r="X6" s="74"/>
      <c r="Y6" s="74"/>
      <c r="Z6" s="74"/>
      <c r="AA6" s="74"/>
      <c r="AB6" s="74"/>
      <c r="AC6" s="74"/>
      <c r="AD6" s="74"/>
      <c r="AE6" s="74"/>
      <c r="AF6" s="75"/>
    </row>
    <row r="7" spans="2:32" x14ac:dyDescent="0.2">
      <c r="B7" s="68" t="s">
        <v>5</v>
      </c>
      <c r="C7" s="68"/>
      <c r="D7" s="68"/>
      <c r="E7" s="68"/>
      <c r="F7" s="68"/>
      <c r="G7" s="68"/>
      <c r="H7" s="73" t="s">
        <v>6</v>
      </c>
      <c r="I7" s="74"/>
      <c r="J7" s="74"/>
      <c r="K7" s="74"/>
      <c r="L7" s="74"/>
      <c r="M7" s="68" t="s">
        <v>7</v>
      </c>
      <c r="N7" s="68"/>
      <c r="O7" s="68"/>
      <c r="P7" s="68"/>
      <c r="Q7" s="68"/>
      <c r="R7" s="68"/>
      <c r="S7" s="68"/>
      <c r="T7" s="73" t="s">
        <v>3</v>
      </c>
      <c r="U7" s="74"/>
      <c r="V7" s="74"/>
      <c r="W7" s="74"/>
      <c r="X7" s="74"/>
      <c r="Y7" s="74"/>
      <c r="Z7" s="74"/>
      <c r="AA7" s="74"/>
      <c r="AB7" s="74"/>
      <c r="AC7" s="74"/>
      <c r="AD7" s="74"/>
      <c r="AE7" s="74"/>
      <c r="AF7" s="75"/>
    </row>
    <row r="10" spans="2:32" x14ac:dyDescent="0.2">
      <c r="B10" s="68" t="s">
        <v>8</v>
      </c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72" t="str">
        <f>改訂履歴!AS9</f>
        <v>須賀</v>
      </c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</row>
    <row r="11" spans="2:32" x14ac:dyDescent="0.2">
      <c r="B11" s="68" t="s">
        <v>9</v>
      </c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71">
        <f>改訂履歴!E9</f>
        <v>44464</v>
      </c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</row>
    <row r="12" spans="2:32" x14ac:dyDescent="0.2">
      <c r="B12" s="68" t="s">
        <v>10</v>
      </c>
      <c r="C12" s="68"/>
      <c r="D12" s="68"/>
      <c r="E12" s="68"/>
      <c r="F12" s="68"/>
      <c r="G12" s="68"/>
      <c r="H12" s="68"/>
      <c r="I12" s="68"/>
      <c r="J12" s="68"/>
      <c r="K12" s="68"/>
      <c r="L12" s="68"/>
      <c r="M12" s="68"/>
      <c r="N12" s="72" t="str">
        <f>VLOOKUP(表紙!N14,改訂履歴!B:AS,44,FALSE)</f>
        <v>須賀</v>
      </c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</row>
    <row r="13" spans="2:32" x14ac:dyDescent="0.2">
      <c r="B13" s="68" t="s">
        <v>11</v>
      </c>
      <c r="C13" s="68"/>
      <c r="D13" s="68"/>
      <c r="E13" s="68"/>
      <c r="F13" s="68"/>
      <c r="G13" s="68"/>
      <c r="H13" s="68"/>
      <c r="I13" s="68"/>
      <c r="J13" s="68"/>
      <c r="K13" s="68"/>
      <c r="L13" s="68"/>
      <c r="M13" s="68"/>
      <c r="N13" s="71">
        <f>VLOOKUP(表紙!N14,改訂履歴!B:E,4,FALSE)</f>
        <v>44520</v>
      </c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</row>
    <row r="14" spans="2:32" x14ac:dyDescent="0.2">
      <c r="B14" s="68" t="s">
        <v>12</v>
      </c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9">
        <f>MAX(改訂履歴!B:B)</f>
        <v>1.4</v>
      </c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</row>
  </sheetData>
  <mergeCells count="22">
    <mergeCell ref="B5:G5"/>
    <mergeCell ref="H5:L5"/>
    <mergeCell ref="M5:S5"/>
    <mergeCell ref="T5:AF5"/>
    <mergeCell ref="B6:G6"/>
    <mergeCell ref="H6:L6"/>
    <mergeCell ref="M6:S6"/>
    <mergeCell ref="T6:AF6"/>
    <mergeCell ref="B7:G7"/>
    <mergeCell ref="H7:L7"/>
    <mergeCell ref="M7:S7"/>
    <mergeCell ref="T7:AF7"/>
    <mergeCell ref="B10:M10"/>
    <mergeCell ref="N10:AF10"/>
    <mergeCell ref="B14:M14"/>
    <mergeCell ref="N14:AF14"/>
    <mergeCell ref="B11:M11"/>
    <mergeCell ref="N11:AF11"/>
    <mergeCell ref="B12:M12"/>
    <mergeCell ref="N12:AF12"/>
    <mergeCell ref="B13:M13"/>
    <mergeCell ref="N13:AF13"/>
  </mergeCells>
  <phoneticPr fontId="3"/>
  <pageMargins left="0.39370078740157483" right="0.39370078740157483" top="0.59055118110236227" bottom="0.59055118110236227" header="0.31496062992125984" footer="0.31496062992125984"/>
  <pageSetup paperSize="9" orientation="landscape" r:id="rId1"/>
  <headerFooter>
    <oddFooter>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B41"/>
  <sheetViews>
    <sheetView showGridLines="0" view="pageBreakPreview" zoomScale="115" zoomScaleNormal="100" zoomScaleSheetLayoutView="115" workbookViewId="0">
      <selection activeCell="B1" sqref="B1"/>
    </sheetView>
  </sheetViews>
  <sheetFormatPr defaultColWidth="2.453125" defaultRowHeight="13" x14ac:dyDescent="0.2"/>
  <cols>
    <col min="1" max="1" width="2.453125" style="3"/>
    <col min="2" max="5" width="2.453125" style="3" customWidth="1"/>
    <col min="6" max="16384" width="2.453125" style="3"/>
  </cols>
  <sheetData>
    <row r="1" spans="1:54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spans="1:54" x14ac:dyDescent="0.2">
      <c r="A2" s="1"/>
      <c r="B2" s="68" t="s">
        <v>0</v>
      </c>
      <c r="C2" s="68"/>
      <c r="D2" s="68"/>
      <c r="E2" s="68"/>
      <c r="F2" s="68"/>
      <c r="G2" s="68"/>
      <c r="H2" s="73" t="str">
        <f>表紙!H5</f>
        <v>BSPS</v>
      </c>
      <c r="I2" s="74"/>
      <c r="J2" s="74"/>
      <c r="K2" s="74"/>
      <c r="L2" s="74"/>
      <c r="M2" s="68" t="s">
        <v>1</v>
      </c>
      <c r="N2" s="68"/>
      <c r="O2" s="68"/>
      <c r="P2" s="68"/>
      <c r="Q2" s="68"/>
      <c r="R2" s="68"/>
      <c r="S2" s="68"/>
      <c r="T2" s="73" t="str">
        <f>表紙!T5</f>
        <v>バトルシミレーションポータルサイト</v>
      </c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  <c r="AF2" s="75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88" t="s">
        <v>12</v>
      </c>
      <c r="AT2" s="89"/>
      <c r="AU2" s="90"/>
      <c r="AV2" s="98">
        <f>表紙!N14</f>
        <v>1.4</v>
      </c>
      <c r="AW2" s="99"/>
      <c r="AX2" s="99"/>
      <c r="AY2" s="99"/>
      <c r="AZ2" s="99"/>
      <c r="BA2" s="100"/>
      <c r="BB2" s="1"/>
    </row>
    <row r="3" spans="1:54" ht="13.5" customHeight="1" x14ac:dyDescent="0.2">
      <c r="A3" s="1"/>
      <c r="B3" s="68" t="s">
        <v>2</v>
      </c>
      <c r="C3" s="68"/>
      <c r="D3" s="68"/>
      <c r="E3" s="68"/>
      <c r="F3" s="68"/>
      <c r="G3" s="68"/>
      <c r="H3" s="73" t="str">
        <f>表紙!H6</f>
        <v>-</v>
      </c>
      <c r="I3" s="74"/>
      <c r="J3" s="74"/>
      <c r="K3" s="74"/>
      <c r="L3" s="74"/>
      <c r="M3" s="68" t="s">
        <v>4</v>
      </c>
      <c r="N3" s="68"/>
      <c r="O3" s="68"/>
      <c r="P3" s="68"/>
      <c r="Q3" s="68"/>
      <c r="R3" s="68"/>
      <c r="S3" s="68"/>
      <c r="T3" s="73" t="str">
        <f>表紙!T6</f>
        <v>-</v>
      </c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5"/>
      <c r="AG3" s="1"/>
      <c r="AH3" s="1"/>
      <c r="AI3" s="1"/>
      <c r="AJ3" s="88" t="s">
        <v>8</v>
      </c>
      <c r="AK3" s="89"/>
      <c r="AL3" s="90"/>
      <c r="AM3" s="73" t="str">
        <f>表紙!N10</f>
        <v>須賀</v>
      </c>
      <c r="AN3" s="74"/>
      <c r="AO3" s="74"/>
      <c r="AP3" s="74"/>
      <c r="AQ3" s="74"/>
      <c r="AR3" s="75"/>
      <c r="AS3" s="88" t="s">
        <v>10</v>
      </c>
      <c r="AT3" s="89"/>
      <c r="AU3" s="90"/>
      <c r="AV3" s="85" t="str">
        <f>表紙!N12</f>
        <v>須賀</v>
      </c>
      <c r="AW3" s="86"/>
      <c r="AX3" s="86"/>
      <c r="AY3" s="86"/>
      <c r="AZ3" s="86"/>
      <c r="BA3" s="87"/>
      <c r="BB3" s="1"/>
    </row>
    <row r="4" spans="1:54" x14ac:dyDescent="0.2">
      <c r="A4" s="1"/>
      <c r="B4" s="68" t="s">
        <v>5</v>
      </c>
      <c r="C4" s="68"/>
      <c r="D4" s="68"/>
      <c r="E4" s="68"/>
      <c r="F4" s="68"/>
      <c r="G4" s="68"/>
      <c r="H4" s="73" t="str">
        <f>表紙!H7</f>
        <v>-</v>
      </c>
      <c r="I4" s="74"/>
      <c r="J4" s="74"/>
      <c r="K4" s="74"/>
      <c r="L4" s="74"/>
      <c r="M4" s="68" t="s">
        <v>7</v>
      </c>
      <c r="N4" s="68"/>
      <c r="O4" s="68"/>
      <c r="P4" s="68"/>
      <c r="Q4" s="68"/>
      <c r="R4" s="68"/>
      <c r="S4" s="68"/>
      <c r="T4" s="73" t="str">
        <f>表紙!T7</f>
        <v>-</v>
      </c>
      <c r="U4" s="74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5"/>
      <c r="AG4" s="1"/>
      <c r="AH4" s="1"/>
      <c r="AI4" s="1"/>
      <c r="AJ4" s="88" t="s">
        <v>9</v>
      </c>
      <c r="AK4" s="89"/>
      <c r="AL4" s="90"/>
      <c r="AM4" s="85">
        <f>表紙!N11</f>
        <v>44464</v>
      </c>
      <c r="AN4" s="86"/>
      <c r="AO4" s="86"/>
      <c r="AP4" s="86"/>
      <c r="AQ4" s="86"/>
      <c r="AR4" s="87"/>
      <c r="AS4" s="88" t="s">
        <v>10</v>
      </c>
      <c r="AT4" s="89"/>
      <c r="AU4" s="90"/>
      <c r="AV4" s="85">
        <f>表紙!N13</f>
        <v>44520</v>
      </c>
      <c r="AW4" s="86"/>
      <c r="AX4" s="86"/>
      <c r="AY4" s="86"/>
      <c r="AZ4" s="86"/>
      <c r="BA4" s="87"/>
      <c r="BB4" s="1"/>
    </row>
    <row r="5" spans="1:54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1"/>
      <c r="AW5" s="1"/>
      <c r="AX5" s="1"/>
      <c r="AY5" s="1"/>
      <c r="AZ5" s="1"/>
      <c r="BA5" s="1"/>
      <c r="BB5" s="1"/>
    </row>
    <row r="6" spans="1:54" ht="14" x14ac:dyDescent="0.2">
      <c r="B6" s="8" t="s">
        <v>13</v>
      </c>
      <c r="C6" s="4"/>
      <c r="D6" s="4"/>
      <c r="E6" s="4"/>
      <c r="F6" s="4"/>
    </row>
    <row r="7" spans="1:54" ht="14" x14ac:dyDescent="0.2">
      <c r="A7" s="4"/>
      <c r="C7" s="8"/>
      <c r="D7" s="8"/>
      <c r="E7" s="8"/>
      <c r="F7" s="4"/>
    </row>
    <row r="8" spans="1:54" x14ac:dyDescent="0.2">
      <c r="A8" s="4"/>
      <c r="B8" s="91" t="s">
        <v>14</v>
      </c>
      <c r="C8" s="91"/>
      <c r="D8" s="91"/>
      <c r="E8" s="92" t="s">
        <v>15</v>
      </c>
      <c r="F8" s="93"/>
      <c r="G8" s="93"/>
      <c r="H8" s="93"/>
      <c r="I8" s="93"/>
      <c r="J8" s="94"/>
      <c r="K8" s="92" t="s">
        <v>16</v>
      </c>
      <c r="L8" s="93"/>
      <c r="M8" s="93"/>
      <c r="N8" s="93"/>
      <c r="O8" s="93"/>
      <c r="P8" s="93"/>
      <c r="Q8" s="93"/>
      <c r="R8" s="93"/>
      <c r="S8" s="93"/>
      <c r="T8" s="93"/>
      <c r="U8" s="94"/>
      <c r="V8" s="95" t="s">
        <v>17</v>
      </c>
      <c r="W8" s="96"/>
      <c r="X8" s="96"/>
      <c r="Y8" s="96"/>
      <c r="Z8" s="96"/>
      <c r="AA8" s="96"/>
      <c r="AB8" s="96"/>
      <c r="AC8" s="96"/>
      <c r="AD8" s="96"/>
      <c r="AE8" s="96"/>
      <c r="AF8" s="96"/>
      <c r="AG8" s="96"/>
      <c r="AH8" s="96"/>
      <c r="AI8" s="96"/>
      <c r="AJ8" s="96"/>
      <c r="AK8" s="96"/>
      <c r="AL8" s="96"/>
      <c r="AM8" s="96"/>
      <c r="AN8" s="96"/>
      <c r="AO8" s="96"/>
      <c r="AP8" s="96"/>
      <c r="AQ8" s="96"/>
      <c r="AR8" s="97"/>
      <c r="AS8" s="91" t="s">
        <v>18</v>
      </c>
      <c r="AT8" s="91"/>
      <c r="AU8" s="91"/>
      <c r="AV8" s="91"/>
    </row>
    <row r="9" spans="1:54" x14ac:dyDescent="0.2">
      <c r="A9" s="4"/>
      <c r="B9" s="76">
        <v>1</v>
      </c>
      <c r="C9" s="76"/>
      <c r="D9" s="76"/>
      <c r="E9" s="78">
        <v>44464</v>
      </c>
      <c r="F9" s="79"/>
      <c r="G9" s="79"/>
      <c r="H9" s="79"/>
      <c r="I9" s="79"/>
      <c r="J9" s="80"/>
      <c r="K9" s="81" t="s">
        <v>19</v>
      </c>
      <c r="L9" s="82"/>
      <c r="M9" s="82"/>
      <c r="N9" s="82"/>
      <c r="O9" s="82"/>
      <c r="P9" s="82"/>
      <c r="Q9" s="82"/>
      <c r="R9" s="82"/>
      <c r="S9" s="82"/>
      <c r="T9" s="82"/>
      <c r="U9" s="83"/>
      <c r="V9" s="81" t="s">
        <v>20</v>
      </c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82"/>
      <c r="AJ9" s="82"/>
      <c r="AK9" s="82"/>
      <c r="AL9" s="82"/>
      <c r="AM9" s="82"/>
      <c r="AN9" s="82"/>
      <c r="AO9" s="82"/>
      <c r="AP9" s="82"/>
      <c r="AQ9" s="82"/>
      <c r="AR9" s="83"/>
      <c r="AS9" s="77" t="s">
        <v>21</v>
      </c>
      <c r="AT9" s="77"/>
      <c r="AU9" s="77"/>
      <c r="AV9" s="77"/>
    </row>
    <row r="10" spans="1:54" x14ac:dyDescent="0.2">
      <c r="A10" s="4"/>
      <c r="B10" s="76">
        <v>1.1000000000000001</v>
      </c>
      <c r="C10" s="76"/>
      <c r="D10" s="76"/>
      <c r="E10" s="78">
        <v>44477</v>
      </c>
      <c r="F10" s="79"/>
      <c r="G10" s="79"/>
      <c r="H10" s="79"/>
      <c r="I10" s="79"/>
      <c r="J10" s="80"/>
      <c r="K10" s="81" t="s">
        <v>106</v>
      </c>
      <c r="L10" s="82"/>
      <c r="M10" s="82"/>
      <c r="N10" s="82"/>
      <c r="O10" s="82"/>
      <c r="P10" s="82"/>
      <c r="Q10" s="82"/>
      <c r="R10" s="82"/>
      <c r="S10" s="82"/>
      <c r="T10" s="82"/>
      <c r="U10" s="83"/>
      <c r="V10" s="81" t="s">
        <v>108</v>
      </c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82"/>
      <c r="AJ10" s="82"/>
      <c r="AK10" s="82"/>
      <c r="AL10" s="82"/>
      <c r="AM10" s="82"/>
      <c r="AN10" s="82"/>
      <c r="AO10" s="82"/>
      <c r="AP10" s="82"/>
      <c r="AQ10" s="82"/>
      <c r="AR10" s="83"/>
      <c r="AS10" s="77" t="s">
        <v>22</v>
      </c>
      <c r="AT10" s="77"/>
      <c r="AU10" s="77"/>
      <c r="AV10" s="77"/>
    </row>
    <row r="11" spans="1:54" x14ac:dyDescent="0.2">
      <c r="A11" s="4"/>
      <c r="B11" s="76">
        <v>1.2</v>
      </c>
      <c r="C11" s="76"/>
      <c r="D11" s="76"/>
      <c r="E11" s="78">
        <v>44477</v>
      </c>
      <c r="F11" s="79"/>
      <c r="G11" s="79"/>
      <c r="H11" s="79"/>
      <c r="I11" s="79"/>
      <c r="J11" s="80"/>
      <c r="K11" s="81" t="s">
        <v>107</v>
      </c>
      <c r="L11" s="82"/>
      <c r="M11" s="82"/>
      <c r="N11" s="82"/>
      <c r="O11" s="82"/>
      <c r="P11" s="82"/>
      <c r="Q11" s="82"/>
      <c r="R11" s="82"/>
      <c r="S11" s="82"/>
      <c r="T11" s="82"/>
      <c r="U11" s="83"/>
      <c r="V11" s="81" t="s">
        <v>110</v>
      </c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82"/>
      <c r="AJ11" s="82"/>
      <c r="AK11" s="82"/>
      <c r="AL11" s="82"/>
      <c r="AM11" s="82"/>
      <c r="AN11" s="82"/>
      <c r="AO11" s="82"/>
      <c r="AP11" s="82"/>
      <c r="AQ11" s="82"/>
      <c r="AR11" s="83"/>
      <c r="AS11" s="77" t="s">
        <v>22</v>
      </c>
      <c r="AT11" s="77"/>
      <c r="AU11" s="77"/>
      <c r="AV11" s="77"/>
    </row>
    <row r="12" spans="1:54" x14ac:dyDescent="0.2">
      <c r="A12" s="4"/>
      <c r="B12" s="76">
        <v>1.3</v>
      </c>
      <c r="C12" s="76"/>
      <c r="D12" s="76"/>
      <c r="E12" s="78">
        <v>44518</v>
      </c>
      <c r="F12" s="79"/>
      <c r="G12" s="79"/>
      <c r="H12" s="79"/>
      <c r="I12" s="79"/>
      <c r="J12" s="80"/>
      <c r="K12" s="81" t="s">
        <v>109</v>
      </c>
      <c r="L12" s="82"/>
      <c r="M12" s="82"/>
      <c r="N12" s="82"/>
      <c r="O12" s="82"/>
      <c r="P12" s="82"/>
      <c r="Q12" s="82"/>
      <c r="R12" s="82"/>
      <c r="S12" s="82"/>
      <c r="T12" s="82"/>
      <c r="U12" s="83"/>
      <c r="V12" s="81" t="s">
        <v>110</v>
      </c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82"/>
      <c r="AJ12" s="82"/>
      <c r="AK12" s="82"/>
      <c r="AL12" s="82"/>
      <c r="AM12" s="82"/>
      <c r="AN12" s="82"/>
      <c r="AO12" s="82"/>
      <c r="AP12" s="82"/>
      <c r="AQ12" s="82"/>
      <c r="AR12" s="83"/>
      <c r="AS12" s="77" t="s">
        <v>22</v>
      </c>
      <c r="AT12" s="77"/>
      <c r="AU12" s="77"/>
      <c r="AV12" s="77"/>
    </row>
    <row r="13" spans="1:54" ht="25.5" customHeight="1" x14ac:dyDescent="0.2">
      <c r="A13" s="4"/>
      <c r="B13" s="76">
        <v>1.4</v>
      </c>
      <c r="C13" s="76"/>
      <c r="D13" s="76"/>
      <c r="E13" s="78">
        <v>44520</v>
      </c>
      <c r="F13" s="79"/>
      <c r="G13" s="79"/>
      <c r="H13" s="79"/>
      <c r="I13" s="79"/>
      <c r="J13" s="80"/>
      <c r="K13" s="81" t="s">
        <v>111</v>
      </c>
      <c r="L13" s="82"/>
      <c r="M13" s="82"/>
      <c r="N13" s="82"/>
      <c r="O13" s="82"/>
      <c r="P13" s="82"/>
      <c r="Q13" s="82"/>
      <c r="R13" s="82"/>
      <c r="S13" s="82"/>
      <c r="T13" s="82"/>
      <c r="U13" s="83"/>
      <c r="V13" s="84" t="s">
        <v>112</v>
      </c>
      <c r="W13" s="82"/>
      <c r="X13" s="82"/>
      <c r="Y13" s="82"/>
      <c r="Z13" s="82"/>
      <c r="AA13" s="82"/>
      <c r="AB13" s="82"/>
      <c r="AC13" s="82"/>
      <c r="AD13" s="82"/>
      <c r="AE13" s="82"/>
      <c r="AF13" s="82"/>
      <c r="AG13" s="82"/>
      <c r="AH13" s="82"/>
      <c r="AI13" s="82"/>
      <c r="AJ13" s="82"/>
      <c r="AK13" s="82"/>
      <c r="AL13" s="82"/>
      <c r="AM13" s="82"/>
      <c r="AN13" s="82"/>
      <c r="AO13" s="82"/>
      <c r="AP13" s="82"/>
      <c r="AQ13" s="82"/>
      <c r="AR13" s="83"/>
      <c r="AS13" s="77" t="s">
        <v>22</v>
      </c>
      <c r="AT13" s="77"/>
      <c r="AU13" s="77"/>
      <c r="AV13" s="77"/>
    </row>
    <row r="14" spans="1:54" x14ac:dyDescent="0.2">
      <c r="A14" s="4"/>
      <c r="B14" s="76"/>
      <c r="C14" s="76"/>
      <c r="D14" s="76"/>
      <c r="E14" s="78"/>
      <c r="F14" s="79"/>
      <c r="G14" s="79"/>
      <c r="H14" s="79"/>
      <c r="I14" s="79"/>
      <c r="J14" s="80"/>
      <c r="K14" s="81"/>
      <c r="L14" s="82"/>
      <c r="M14" s="82"/>
      <c r="N14" s="82"/>
      <c r="O14" s="82"/>
      <c r="P14" s="82"/>
      <c r="Q14" s="82"/>
      <c r="R14" s="82"/>
      <c r="S14" s="82"/>
      <c r="T14" s="82"/>
      <c r="U14" s="83"/>
      <c r="V14" s="81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82"/>
      <c r="AI14" s="82"/>
      <c r="AJ14" s="82"/>
      <c r="AK14" s="82"/>
      <c r="AL14" s="82"/>
      <c r="AM14" s="82"/>
      <c r="AN14" s="82"/>
      <c r="AO14" s="82"/>
      <c r="AP14" s="82"/>
      <c r="AQ14" s="82"/>
      <c r="AR14" s="83"/>
      <c r="AS14" s="77"/>
      <c r="AT14" s="77"/>
      <c r="AU14" s="77"/>
      <c r="AV14" s="77"/>
    </row>
    <row r="15" spans="1:54" x14ac:dyDescent="0.2">
      <c r="A15" s="4"/>
      <c r="B15" s="76"/>
      <c r="C15" s="76"/>
      <c r="D15" s="76"/>
      <c r="E15" s="78"/>
      <c r="F15" s="79"/>
      <c r="G15" s="79"/>
      <c r="H15" s="79"/>
      <c r="I15" s="79"/>
      <c r="J15" s="80"/>
      <c r="K15" s="81"/>
      <c r="L15" s="82"/>
      <c r="M15" s="82"/>
      <c r="N15" s="82"/>
      <c r="O15" s="82"/>
      <c r="P15" s="82"/>
      <c r="Q15" s="82"/>
      <c r="R15" s="82"/>
      <c r="S15" s="82"/>
      <c r="T15" s="82"/>
      <c r="U15" s="83"/>
      <c r="V15" s="81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  <c r="AH15" s="82"/>
      <c r="AI15" s="82"/>
      <c r="AJ15" s="82"/>
      <c r="AK15" s="82"/>
      <c r="AL15" s="82"/>
      <c r="AM15" s="82"/>
      <c r="AN15" s="82"/>
      <c r="AO15" s="82"/>
      <c r="AP15" s="82"/>
      <c r="AQ15" s="82"/>
      <c r="AR15" s="83"/>
      <c r="AS15" s="77"/>
      <c r="AT15" s="77"/>
      <c r="AU15" s="77"/>
      <c r="AV15" s="77"/>
    </row>
    <row r="16" spans="1:54" x14ac:dyDescent="0.2">
      <c r="A16" s="4"/>
      <c r="B16" s="76"/>
      <c r="C16" s="76"/>
      <c r="D16" s="76"/>
      <c r="E16" s="78"/>
      <c r="F16" s="79"/>
      <c r="G16" s="79"/>
      <c r="H16" s="79"/>
      <c r="I16" s="79"/>
      <c r="J16" s="80"/>
      <c r="K16" s="81"/>
      <c r="L16" s="82"/>
      <c r="M16" s="82"/>
      <c r="N16" s="82"/>
      <c r="O16" s="82"/>
      <c r="P16" s="82"/>
      <c r="Q16" s="82"/>
      <c r="R16" s="82"/>
      <c r="S16" s="82"/>
      <c r="T16" s="82"/>
      <c r="U16" s="83"/>
      <c r="V16" s="81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  <c r="AH16" s="82"/>
      <c r="AI16" s="82"/>
      <c r="AJ16" s="82"/>
      <c r="AK16" s="82"/>
      <c r="AL16" s="82"/>
      <c r="AM16" s="82"/>
      <c r="AN16" s="82"/>
      <c r="AO16" s="82"/>
      <c r="AP16" s="82"/>
      <c r="AQ16" s="82"/>
      <c r="AR16" s="83"/>
      <c r="AS16" s="77"/>
      <c r="AT16" s="77"/>
      <c r="AU16" s="77"/>
      <c r="AV16" s="77"/>
    </row>
    <row r="17" spans="1:48" x14ac:dyDescent="0.2">
      <c r="A17" s="4"/>
      <c r="B17" s="76"/>
      <c r="C17" s="76"/>
      <c r="D17" s="76"/>
      <c r="E17" s="78"/>
      <c r="F17" s="79"/>
      <c r="G17" s="79"/>
      <c r="H17" s="79"/>
      <c r="I17" s="79"/>
      <c r="J17" s="80"/>
      <c r="K17" s="81"/>
      <c r="L17" s="82"/>
      <c r="M17" s="82"/>
      <c r="N17" s="82"/>
      <c r="O17" s="82"/>
      <c r="P17" s="82"/>
      <c r="Q17" s="82"/>
      <c r="R17" s="82"/>
      <c r="S17" s="82"/>
      <c r="T17" s="82"/>
      <c r="U17" s="83"/>
      <c r="V17" s="81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  <c r="AH17" s="82"/>
      <c r="AI17" s="82"/>
      <c r="AJ17" s="82"/>
      <c r="AK17" s="82"/>
      <c r="AL17" s="82"/>
      <c r="AM17" s="82"/>
      <c r="AN17" s="82"/>
      <c r="AO17" s="82"/>
      <c r="AP17" s="82"/>
      <c r="AQ17" s="82"/>
      <c r="AR17" s="83"/>
      <c r="AS17" s="77"/>
      <c r="AT17" s="77"/>
      <c r="AU17" s="77"/>
      <c r="AV17" s="77"/>
    </row>
    <row r="18" spans="1:48" x14ac:dyDescent="0.2">
      <c r="A18" s="4"/>
      <c r="B18" s="76"/>
      <c r="C18" s="76"/>
      <c r="D18" s="76"/>
      <c r="E18" s="78"/>
      <c r="F18" s="79"/>
      <c r="G18" s="79"/>
      <c r="H18" s="79"/>
      <c r="I18" s="79"/>
      <c r="J18" s="80"/>
      <c r="K18" s="81"/>
      <c r="L18" s="82"/>
      <c r="M18" s="82"/>
      <c r="N18" s="82"/>
      <c r="O18" s="82"/>
      <c r="P18" s="82"/>
      <c r="Q18" s="82"/>
      <c r="R18" s="82"/>
      <c r="S18" s="82"/>
      <c r="T18" s="82"/>
      <c r="U18" s="83"/>
      <c r="V18" s="81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  <c r="AH18" s="82"/>
      <c r="AI18" s="82"/>
      <c r="AJ18" s="82"/>
      <c r="AK18" s="82"/>
      <c r="AL18" s="82"/>
      <c r="AM18" s="82"/>
      <c r="AN18" s="82"/>
      <c r="AO18" s="82"/>
      <c r="AP18" s="82"/>
      <c r="AQ18" s="82"/>
      <c r="AR18" s="83"/>
      <c r="AS18" s="77"/>
      <c r="AT18" s="77"/>
      <c r="AU18" s="77"/>
      <c r="AV18" s="77"/>
    </row>
    <row r="19" spans="1:48" x14ac:dyDescent="0.2">
      <c r="A19" s="4"/>
      <c r="B19" s="76"/>
      <c r="C19" s="76"/>
      <c r="D19" s="76"/>
      <c r="E19" s="78"/>
      <c r="F19" s="79"/>
      <c r="G19" s="79"/>
      <c r="H19" s="79"/>
      <c r="I19" s="79"/>
      <c r="J19" s="80"/>
      <c r="K19" s="81"/>
      <c r="L19" s="82"/>
      <c r="M19" s="82"/>
      <c r="N19" s="82"/>
      <c r="O19" s="82"/>
      <c r="P19" s="82"/>
      <c r="Q19" s="82"/>
      <c r="R19" s="82"/>
      <c r="S19" s="82"/>
      <c r="T19" s="82"/>
      <c r="U19" s="83"/>
      <c r="V19" s="81"/>
      <c r="W19" s="82"/>
      <c r="X19" s="82"/>
      <c r="Y19" s="82"/>
      <c r="Z19" s="82"/>
      <c r="AA19" s="82"/>
      <c r="AB19" s="82"/>
      <c r="AC19" s="82"/>
      <c r="AD19" s="82"/>
      <c r="AE19" s="82"/>
      <c r="AF19" s="82"/>
      <c r="AG19" s="82"/>
      <c r="AH19" s="82"/>
      <c r="AI19" s="82"/>
      <c r="AJ19" s="82"/>
      <c r="AK19" s="82"/>
      <c r="AL19" s="82"/>
      <c r="AM19" s="82"/>
      <c r="AN19" s="82"/>
      <c r="AO19" s="82"/>
      <c r="AP19" s="82"/>
      <c r="AQ19" s="82"/>
      <c r="AR19" s="83"/>
      <c r="AS19" s="77"/>
      <c r="AT19" s="77"/>
      <c r="AU19" s="77"/>
      <c r="AV19" s="77"/>
    </row>
    <row r="20" spans="1:48" x14ac:dyDescent="0.2">
      <c r="A20" s="4"/>
      <c r="B20" s="76"/>
      <c r="C20" s="76"/>
      <c r="D20" s="76"/>
      <c r="E20" s="78"/>
      <c r="F20" s="79"/>
      <c r="G20" s="79"/>
      <c r="H20" s="79"/>
      <c r="I20" s="79"/>
      <c r="J20" s="80"/>
      <c r="K20" s="81"/>
      <c r="L20" s="82"/>
      <c r="M20" s="82"/>
      <c r="N20" s="82"/>
      <c r="O20" s="82"/>
      <c r="P20" s="82"/>
      <c r="Q20" s="82"/>
      <c r="R20" s="82"/>
      <c r="S20" s="82"/>
      <c r="T20" s="82"/>
      <c r="U20" s="83"/>
      <c r="V20" s="81"/>
      <c r="W20" s="82"/>
      <c r="X20" s="82"/>
      <c r="Y20" s="82"/>
      <c r="Z20" s="82"/>
      <c r="AA20" s="82"/>
      <c r="AB20" s="82"/>
      <c r="AC20" s="82"/>
      <c r="AD20" s="82"/>
      <c r="AE20" s="82"/>
      <c r="AF20" s="82"/>
      <c r="AG20" s="82"/>
      <c r="AH20" s="82"/>
      <c r="AI20" s="82"/>
      <c r="AJ20" s="82"/>
      <c r="AK20" s="82"/>
      <c r="AL20" s="82"/>
      <c r="AM20" s="82"/>
      <c r="AN20" s="82"/>
      <c r="AO20" s="82"/>
      <c r="AP20" s="82"/>
      <c r="AQ20" s="82"/>
      <c r="AR20" s="83"/>
      <c r="AS20" s="77"/>
      <c r="AT20" s="77"/>
      <c r="AU20" s="77"/>
      <c r="AV20" s="77"/>
    </row>
    <row r="21" spans="1:48" x14ac:dyDescent="0.2">
      <c r="A21" s="4"/>
      <c r="B21" s="76"/>
      <c r="C21" s="76"/>
      <c r="D21" s="76"/>
      <c r="E21" s="78"/>
      <c r="F21" s="79"/>
      <c r="G21" s="79"/>
      <c r="H21" s="79"/>
      <c r="I21" s="79"/>
      <c r="J21" s="80"/>
      <c r="K21" s="81"/>
      <c r="L21" s="82"/>
      <c r="M21" s="82"/>
      <c r="N21" s="82"/>
      <c r="O21" s="82"/>
      <c r="P21" s="82"/>
      <c r="Q21" s="82"/>
      <c r="R21" s="82"/>
      <c r="S21" s="82"/>
      <c r="T21" s="82"/>
      <c r="U21" s="83"/>
      <c r="V21" s="81"/>
      <c r="W21" s="82"/>
      <c r="X21" s="82"/>
      <c r="Y21" s="82"/>
      <c r="Z21" s="82"/>
      <c r="AA21" s="82"/>
      <c r="AB21" s="82"/>
      <c r="AC21" s="82"/>
      <c r="AD21" s="82"/>
      <c r="AE21" s="82"/>
      <c r="AF21" s="82"/>
      <c r="AG21" s="82"/>
      <c r="AH21" s="82"/>
      <c r="AI21" s="82"/>
      <c r="AJ21" s="82"/>
      <c r="AK21" s="82"/>
      <c r="AL21" s="82"/>
      <c r="AM21" s="82"/>
      <c r="AN21" s="82"/>
      <c r="AO21" s="82"/>
      <c r="AP21" s="82"/>
      <c r="AQ21" s="82"/>
      <c r="AR21" s="83"/>
      <c r="AS21" s="77"/>
      <c r="AT21" s="77"/>
      <c r="AU21" s="77"/>
      <c r="AV21" s="77"/>
    </row>
    <row r="22" spans="1:48" x14ac:dyDescent="0.2">
      <c r="A22" s="4"/>
      <c r="B22" s="76"/>
      <c r="C22" s="76"/>
      <c r="D22" s="76"/>
      <c r="E22" s="78"/>
      <c r="F22" s="79"/>
      <c r="G22" s="79"/>
      <c r="H22" s="79"/>
      <c r="I22" s="79"/>
      <c r="J22" s="80"/>
      <c r="K22" s="81"/>
      <c r="L22" s="82"/>
      <c r="M22" s="82"/>
      <c r="N22" s="82"/>
      <c r="O22" s="82"/>
      <c r="P22" s="82"/>
      <c r="Q22" s="82"/>
      <c r="R22" s="82"/>
      <c r="S22" s="82"/>
      <c r="T22" s="82"/>
      <c r="U22" s="83"/>
      <c r="V22" s="81"/>
      <c r="W22" s="82"/>
      <c r="X22" s="82"/>
      <c r="Y22" s="82"/>
      <c r="Z22" s="82"/>
      <c r="AA22" s="82"/>
      <c r="AB22" s="82"/>
      <c r="AC22" s="82"/>
      <c r="AD22" s="82"/>
      <c r="AE22" s="82"/>
      <c r="AF22" s="82"/>
      <c r="AG22" s="82"/>
      <c r="AH22" s="82"/>
      <c r="AI22" s="82"/>
      <c r="AJ22" s="82"/>
      <c r="AK22" s="82"/>
      <c r="AL22" s="82"/>
      <c r="AM22" s="82"/>
      <c r="AN22" s="82"/>
      <c r="AO22" s="82"/>
      <c r="AP22" s="82"/>
      <c r="AQ22" s="82"/>
      <c r="AR22" s="83"/>
      <c r="AS22" s="77"/>
      <c r="AT22" s="77"/>
      <c r="AU22" s="77"/>
      <c r="AV22" s="77"/>
    </row>
    <row r="23" spans="1:48" x14ac:dyDescent="0.2">
      <c r="A23" s="4"/>
      <c r="B23" s="76"/>
      <c r="C23" s="76"/>
      <c r="D23" s="76"/>
      <c r="E23" s="78"/>
      <c r="F23" s="79"/>
      <c r="G23" s="79"/>
      <c r="H23" s="79"/>
      <c r="I23" s="79"/>
      <c r="J23" s="80"/>
      <c r="K23" s="81"/>
      <c r="L23" s="82"/>
      <c r="M23" s="82"/>
      <c r="N23" s="82"/>
      <c r="O23" s="82"/>
      <c r="P23" s="82"/>
      <c r="Q23" s="82"/>
      <c r="R23" s="82"/>
      <c r="S23" s="82"/>
      <c r="T23" s="82"/>
      <c r="U23" s="83"/>
      <c r="V23" s="81"/>
      <c r="W23" s="82"/>
      <c r="X23" s="82"/>
      <c r="Y23" s="82"/>
      <c r="Z23" s="82"/>
      <c r="AA23" s="82"/>
      <c r="AB23" s="82"/>
      <c r="AC23" s="82"/>
      <c r="AD23" s="82"/>
      <c r="AE23" s="82"/>
      <c r="AF23" s="82"/>
      <c r="AG23" s="82"/>
      <c r="AH23" s="82"/>
      <c r="AI23" s="82"/>
      <c r="AJ23" s="82"/>
      <c r="AK23" s="82"/>
      <c r="AL23" s="82"/>
      <c r="AM23" s="82"/>
      <c r="AN23" s="82"/>
      <c r="AO23" s="82"/>
      <c r="AP23" s="82"/>
      <c r="AQ23" s="82"/>
      <c r="AR23" s="83"/>
      <c r="AS23" s="77"/>
      <c r="AT23" s="77"/>
      <c r="AU23" s="77"/>
      <c r="AV23" s="77"/>
    </row>
    <row r="24" spans="1:48" x14ac:dyDescent="0.2">
      <c r="A24" s="4"/>
      <c r="B24" s="76"/>
      <c r="C24" s="76"/>
      <c r="D24" s="76"/>
      <c r="E24" s="78"/>
      <c r="F24" s="79"/>
      <c r="G24" s="79"/>
      <c r="H24" s="79"/>
      <c r="I24" s="79"/>
      <c r="J24" s="80"/>
      <c r="K24" s="81"/>
      <c r="L24" s="82"/>
      <c r="M24" s="82"/>
      <c r="N24" s="82"/>
      <c r="O24" s="82"/>
      <c r="P24" s="82"/>
      <c r="Q24" s="82"/>
      <c r="R24" s="82"/>
      <c r="S24" s="82"/>
      <c r="T24" s="82"/>
      <c r="U24" s="83"/>
      <c r="V24" s="81"/>
      <c r="W24" s="82"/>
      <c r="X24" s="82"/>
      <c r="Y24" s="82"/>
      <c r="Z24" s="82"/>
      <c r="AA24" s="82"/>
      <c r="AB24" s="82"/>
      <c r="AC24" s="82"/>
      <c r="AD24" s="82"/>
      <c r="AE24" s="82"/>
      <c r="AF24" s="82"/>
      <c r="AG24" s="82"/>
      <c r="AH24" s="82"/>
      <c r="AI24" s="82"/>
      <c r="AJ24" s="82"/>
      <c r="AK24" s="82"/>
      <c r="AL24" s="82"/>
      <c r="AM24" s="82"/>
      <c r="AN24" s="82"/>
      <c r="AO24" s="82"/>
      <c r="AP24" s="82"/>
      <c r="AQ24" s="82"/>
      <c r="AR24" s="83"/>
      <c r="AS24" s="77"/>
      <c r="AT24" s="77"/>
      <c r="AU24" s="77"/>
      <c r="AV24" s="77"/>
    </row>
    <row r="25" spans="1:48" x14ac:dyDescent="0.2">
      <c r="A25" s="4"/>
      <c r="B25" s="76"/>
      <c r="C25" s="76"/>
      <c r="D25" s="76"/>
      <c r="E25" s="78"/>
      <c r="F25" s="79"/>
      <c r="G25" s="79"/>
      <c r="H25" s="79"/>
      <c r="I25" s="79"/>
      <c r="J25" s="80"/>
      <c r="K25" s="81"/>
      <c r="L25" s="82"/>
      <c r="M25" s="82"/>
      <c r="N25" s="82"/>
      <c r="O25" s="82"/>
      <c r="P25" s="82"/>
      <c r="Q25" s="82"/>
      <c r="R25" s="82"/>
      <c r="S25" s="82"/>
      <c r="T25" s="82"/>
      <c r="U25" s="83"/>
      <c r="V25" s="81"/>
      <c r="W25" s="82"/>
      <c r="X25" s="82"/>
      <c r="Y25" s="82"/>
      <c r="Z25" s="82"/>
      <c r="AA25" s="82"/>
      <c r="AB25" s="82"/>
      <c r="AC25" s="82"/>
      <c r="AD25" s="82"/>
      <c r="AE25" s="82"/>
      <c r="AF25" s="82"/>
      <c r="AG25" s="82"/>
      <c r="AH25" s="82"/>
      <c r="AI25" s="82"/>
      <c r="AJ25" s="82"/>
      <c r="AK25" s="82"/>
      <c r="AL25" s="82"/>
      <c r="AM25" s="82"/>
      <c r="AN25" s="82"/>
      <c r="AO25" s="82"/>
      <c r="AP25" s="82"/>
      <c r="AQ25" s="82"/>
      <c r="AR25" s="83"/>
      <c r="AS25" s="77"/>
      <c r="AT25" s="77"/>
      <c r="AU25" s="77"/>
      <c r="AV25" s="77"/>
    </row>
    <row r="26" spans="1:48" x14ac:dyDescent="0.2">
      <c r="A26" s="4"/>
      <c r="B26" s="76"/>
      <c r="C26" s="76"/>
      <c r="D26" s="76"/>
      <c r="E26" s="78"/>
      <c r="F26" s="79"/>
      <c r="G26" s="79"/>
      <c r="H26" s="79"/>
      <c r="I26" s="79"/>
      <c r="J26" s="80"/>
      <c r="K26" s="81"/>
      <c r="L26" s="82"/>
      <c r="M26" s="82"/>
      <c r="N26" s="82"/>
      <c r="O26" s="82"/>
      <c r="P26" s="82"/>
      <c r="Q26" s="82"/>
      <c r="R26" s="82"/>
      <c r="S26" s="82"/>
      <c r="T26" s="82"/>
      <c r="U26" s="83"/>
      <c r="V26" s="81"/>
      <c r="W26" s="82"/>
      <c r="X26" s="82"/>
      <c r="Y26" s="82"/>
      <c r="Z26" s="82"/>
      <c r="AA26" s="82"/>
      <c r="AB26" s="82"/>
      <c r="AC26" s="82"/>
      <c r="AD26" s="82"/>
      <c r="AE26" s="82"/>
      <c r="AF26" s="82"/>
      <c r="AG26" s="82"/>
      <c r="AH26" s="82"/>
      <c r="AI26" s="82"/>
      <c r="AJ26" s="82"/>
      <c r="AK26" s="82"/>
      <c r="AL26" s="82"/>
      <c r="AM26" s="82"/>
      <c r="AN26" s="82"/>
      <c r="AO26" s="82"/>
      <c r="AP26" s="82"/>
      <c r="AQ26" s="82"/>
      <c r="AR26" s="83"/>
      <c r="AS26" s="77"/>
      <c r="AT26" s="77"/>
      <c r="AU26" s="77"/>
      <c r="AV26" s="77"/>
    </row>
    <row r="27" spans="1:48" x14ac:dyDescent="0.2">
      <c r="A27" s="4"/>
      <c r="B27" s="76"/>
      <c r="C27" s="76"/>
      <c r="D27" s="76"/>
      <c r="E27" s="78"/>
      <c r="F27" s="79"/>
      <c r="G27" s="79"/>
      <c r="H27" s="79"/>
      <c r="I27" s="79"/>
      <c r="J27" s="80"/>
      <c r="K27" s="81"/>
      <c r="L27" s="82"/>
      <c r="M27" s="82"/>
      <c r="N27" s="82"/>
      <c r="O27" s="82"/>
      <c r="P27" s="82"/>
      <c r="Q27" s="82"/>
      <c r="R27" s="82"/>
      <c r="S27" s="82"/>
      <c r="T27" s="82"/>
      <c r="U27" s="83"/>
      <c r="V27" s="81"/>
      <c r="W27" s="82"/>
      <c r="X27" s="82"/>
      <c r="Y27" s="82"/>
      <c r="Z27" s="82"/>
      <c r="AA27" s="82"/>
      <c r="AB27" s="82"/>
      <c r="AC27" s="82"/>
      <c r="AD27" s="82"/>
      <c r="AE27" s="82"/>
      <c r="AF27" s="82"/>
      <c r="AG27" s="82"/>
      <c r="AH27" s="82"/>
      <c r="AI27" s="82"/>
      <c r="AJ27" s="82"/>
      <c r="AK27" s="82"/>
      <c r="AL27" s="82"/>
      <c r="AM27" s="82"/>
      <c r="AN27" s="82"/>
      <c r="AO27" s="82"/>
      <c r="AP27" s="82"/>
      <c r="AQ27" s="82"/>
      <c r="AR27" s="83"/>
      <c r="AS27" s="77"/>
      <c r="AT27" s="77"/>
      <c r="AU27" s="77"/>
      <c r="AV27" s="77"/>
    </row>
    <row r="28" spans="1:48" x14ac:dyDescent="0.2">
      <c r="A28" s="4"/>
      <c r="B28" s="76"/>
      <c r="C28" s="76"/>
      <c r="D28" s="76"/>
      <c r="E28" s="78"/>
      <c r="F28" s="79"/>
      <c r="G28" s="79"/>
      <c r="H28" s="79"/>
      <c r="I28" s="79"/>
      <c r="J28" s="80"/>
      <c r="K28" s="81"/>
      <c r="L28" s="82"/>
      <c r="M28" s="82"/>
      <c r="N28" s="82"/>
      <c r="O28" s="82"/>
      <c r="P28" s="82"/>
      <c r="Q28" s="82"/>
      <c r="R28" s="82"/>
      <c r="S28" s="82"/>
      <c r="T28" s="82"/>
      <c r="U28" s="83"/>
      <c r="V28" s="81"/>
      <c r="W28" s="82"/>
      <c r="X28" s="82"/>
      <c r="Y28" s="82"/>
      <c r="Z28" s="82"/>
      <c r="AA28" s="82"/>
      <c r="AB28" s="82"/>
      <c r="AC28" s="82"/>
      <c r="AD28" s="82"/>
      <c r="AE28" s="82"/>
      <c r="AF28" s="82"/>
      <c r="AG28" s="82"/>
      <c r="AH28" s="82"/>
      <c r="AI28" s="82"/>
      <c r="AJ28" s="82"/>
      <c r="AK28" s="82"/>
      <c r="AL28" s="82"/>
      <c r="AM28" s="82"/>
      <c r="AN28" s="82"/>
      <c r="AO28" s="82"/>
      <c r="AP28" s="82"/>
      <c r="AQ28" s="82"/>
      <c r="AR28" s="83"/>
      <c r="AS28" s="77"/>
      <c r="AT28" s="77"/>
      <c r="AU28" s="77"/>
      <c r="AV28" s="77"/>
    </row>
    <row r="29" spans="1:48" x14ac:dyDescent="0.2">
      <c r="A29" s="4"/>
      <c r="B29" s="76"/>
      <c r="C29" s="76"/>
      <c r="D29" s="76"/>
      <c r="E29" s="78"/>
      <c r="F29" s="79"/>
      <c r="G29" s="79"/>
      <c r="H29" s="79"/>
      <c r="I29" s="79"/>
      <c r="J29" s="80"/>
      <c r="K29" s="81"/>
      <c r="L29" s="82"/>
      <c r="M29" s="82"/>
      <c r="N29" s="82"/>
      <c r="O29" s="82"/>
      <c r="P29" s="82"/>
      <c r="Q29" s="82"/>
      <c r="R29" s="82"/>
      <c r="S29" s="82"/>
      <c r="T29" s="82"/>
      <c r="U29" s="83"/>
      <c r="V29" s="81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  <c r="AH29" s="82"/>
      <c r="AI29" s="82"/>
      <c r="AJ29" s="82"/>
      <c r="AK29" s="82"/>
      <c r="AL29" s="82"/>
      <c r="AM29" s="82"/>
      <c r="AN29" s="82"/>
      <c r="AO29" s="82"/>
      <c r="AP29" s="82"/>
      <c r="AQ29" s="82"/>
      <c r="AR29" s="83"/>
      <c r="AS29" s="77"/>
      <c r="AT29" s="77"/>
      <c r="AU29" s="77"/>
      <c r="AV29" s="77"/>
    </row>
    <row r="30" spans="1:48" x14ac:dyDescent="0.2">
      <c r="A30" s="4"/>
      <c r="B30" s="76"/>
      <c r="C30" s="76"/>
      <c r="D30" s="76"/>
      <c r="E30" s="78"/>
      <c r="F30" s="79"/>
      <c r="G30" s="79"/>
      <c r="H30" s="79"/>
      <c r="I30" s="79"/>
      <c r="J30" s="80"/>
      <c r="K30" s="81"/>
      <c r="L30" s="82"/>
      <c r="M30" s="82"/>
      <c r="N30" s="82"/>
      <c r="O30" s="82"/>
      <c r="P30" s="82"/>
      <c r="Q30" s="82"/>
      <c r="R30" s="82"/>
      <c r="S30" s="82"/>
      <c r="T30" s="82"/>
      <c r="U30" s="83"/>
      <c r="V30" s="81"/>
      <c r="W30" s="82"/>
      <c r="X30" s="82"/>
      <c r="Y30" s="82"/>
      <c r="Z30" s="82"/>
      <c r="AA30" s="82"/>
      <c r="AB30" s="82"/>
      <c r="AC30" s="82"/>
      <c r="AD30" s="82"/>
      <c r="AE30" s="82"/>
      <c r="AF30" s="82"/>
      <c r="AG30" s="82"/>
      <c r="AH30" s="82"/>
      <c r="AI30" s="82"/>
      <c r="AJ30" s="82"/>
      <c r="AK30" s="82"/>
      <c r="AL30" s="82"/>
      <c r="AM30" s="82"/>
      <c r="AN30" s="82"/>
      <c r="AO30" s="82"/>
      <c r="AP30" s="82"/>
      <c r="AQ30" s="82"/>
      <c r="AR30" s="83"/>
      <c r="AS30" s="77"/>
      <c r="AT30" s="77"/>
      <c r="AU30" s="77"/>
      <c r="AV30" s="77"/>
    </row>
    <row r="31" spans="1:48" x14ac:dyDescent="0.2">
      <c r="A31" s="4"/>
      <c r="B31" s="76"/>
      <c r="C31" s="76"/>
      <c r="D31" s="76"/>
      <c r="E31" s="78"/>
      <c r="F31" s="79"/>
      <c r="G31" s="79"/>
      <c r="H31" s="79"/>
      <c r="I31" s="79"/>
      <c r="J31" s="80"/>
      <c r="K31" s="81"/>
      <c r="L31" s="82"/>
      <c r="M31" s="82"/>
      <c r="N31" s="82"/>
      <c r="O31" s="82"/>
      <c r="P31" s="82"/>
      <c r="Q31" s="82"/>
      <c r="R31" s="82"/>
      <c r="S31" s="82"/>
      <c r="T31" s="82"/>
      <c r="U31" s="83"/>
      <c r="V31" s="81"/>
      <c r="W31" s="82"/>
      <c r="X31" s="82"/>
      <c r="Y31" s="82"/>
      <c r="Z31" s="82"/>
      <c r="AA31" s="82"/>
      <c r="AB31" s="82"/>
      <c r="AC31" s="82"/>
      <c r="AD31" s="82"/>
      <c r="AE31" s="82"/>
      <c r="AF31" s="82"/>
      <c r="AG31" s="82"/>
      <c r="AH31" s="82"/>
      <c r="AI31" s="82"/>
      <c r="AJ31" s="82"/>
      <c r="AK31" s="82"/>
      <c r="AL31" s="82"/>
      <c r="AM31" s="82"/>
      <c r="AN31" s="82"/>
      <c r="AO31" s="82"/>
      <c r="AP31" s="82"/>
      <c r="AQ31" s="82"/>
      <c r="AR31" s="83"/>
      <c r="AS31" s="77"/>
      <c r="AT31" s="77"/>
      <c r="AU31" s="77"/>
      <c r="AV31" s="77"/>
    </row>
    <row r="32" spans="1:48" x14ac:dyDescent="0.2">
      <c r="A32" s="4"/>
      <c r="B32" s="76"/>
      <c r="C32" s="76"/>
      <c r="D32" s="76"/>
      <c r="E32" s="78"/>
      <c r="F32" s="79"/>
      <c r="G32" s="79"/>
      <c r="H32" s="79"/>
      <c r="I32" s="79"/>
      <c r="J32" s="80"/>
      <c r="K32" s="81"/>
      <c r="L32" s="82"/>
      <c r="M32" s="82"/>
      <c r="N32" s="82"/>
      <c r="O32" s="82"/>
      <c r="P32" s="82"/>
      <c r="Q32" s="82"/>
      <c r="R32" s="82"/>
      <c r="S32" s="82"/>
      <c r="T32" s="82"/>
      <c r="U32" s="83"/>
      <c r="V32" s="81"/>
      <c r="W32" s="82"/>
      <c r="X32" s="82"/>
      <c r="Y32" s="82"/>
      <c r="Z32" s="82"/>
      <c r="AA32" s="82"/>
      <c r="AB32" s="82"/>
      <c r="AC32" s="82"/>
      <c r="AD32" s="82"/>
      <c r="AE32" s="82"/>
      <c r="AF32" s="82"/>
      <c r="AG32" s="82"/>
      <c r="AH32" s="82"/>
      <c r="AI32" s="82"/>
      <c r="AJ32" s="82"/>
      <c r="AK32" s="82"/>
      <c r="AL32" s="82"/>
      <c r="AM32" s="82"/>
      <c r="AN32" s="82"/>
      <c r="AO32" s="82"/>
      <c r="AP32" s="82"/>
      <c r="AQ32" s="82"/>
      <c r="AR32" s="83"/>
      <c r="AS32" s="77"/>
      <c r="AT32" s="77"/>
      <c r="AU32" s="77"/>
      <c r="AV32" s="77"/>
    </row>
    <row r="33" spans="1:48" x14ac:dyDescent="0.2">
      <c r="A33" s="4"/>
      <c r="B33" s="76"/>
      <c r="C33" s="76"/>
      <c r="D33" s="76"/>
      <c r="E33" s="78"/>
      <c r="F33" s="79"/>
      <c r="G33" s="79"/>
      <c r="H33" s="79"/>
      <c r="I33" s="79"/>
      <c r="J33" s="80"/>
      <c r="K33" s="81"/>
      <c r="L33" s="82"/>
      <c r="M33" s="82"/>
      <c r="N33" s="82"/>
      <c r="O33" s="82"/>
      <c r="P33" s="82"/>
      <c r="Q33" s="82"/>
      <c r="R33" s="82"/>
      <c r="S33" s="82"/>
      <c r="T33" s="82"/>
      <c r="U33" s="83"/>
      <c r="V33" s="81"/>
      <c r="W33" s="82"/>
      <c r="X33" s="82"/>
      <c r="Y33" s="82"/>
      <c r="Z33" s="82"/>
      <c r="AA33" s="82"/>
      <c r="AB33" s="82"/>
      <c r="AC33" s="82"/>
      <c r="AD33" s="82"/>
      <c r="AE33" s="82"/>
      <c r="AF33" s="82"/>
      <c r="AG33" s="82"/>
      <c r="AH33" s="82"/>
      <c r="AI33" s="82"/>
      <c r="AJ33" s="82"/>
      <c r="AK33" s="82"/>
      <c r="AL33" s="82"/>
      <c r="AM33" s="82"/>
      <c r="AN33" s="82"/>
      <c r="AO33" s="82"/>
      <c r="AP33" s="82"/>
      <c r="AQ33" s="82"/>
      <c r="AR33" s="83"/>
      <c r="AS33" s="77"/>
      <c r="AT33" s="77"/>
      <c r="AU33" s="77"/>
      <c r="AV33" s="77"/>
    </row>
    <row r="34" spans="1:48" x14ac:dyDescent="0.2">
      <c r="A34" s="4"/>
      <c r="B34" s="76"/>
      <c r="C34" s="76"/>
      <c r="D34" s="76"/>
      <c r="E34" s="78"/>
      <c r="F34" s="79"/>
      <c r="G34" s="79"/>
      <c r="H34" s="79"/>
      <c r="I34" s="79"/>
      <c r="J34" s="80"/>
      <c r="K34" s="81"/>
      <c r="L34" s="82"/>
      <c r="M34" s="82"/>
      <c r="N34" s="82"/>
      <c r="O34" s="82"/>
      <c r="P34" s="82"/>
      <c r="Q34" s="82"/>
      <c r="R34" s="82"/>
      <c r="S34" s="82"/>
      <c r="T34" s="82"/>
      <c r="U34" s="83"/>
      <c r="V34" s="81"/>
      <c r="W34" s="82"/>
      <c r="X34" s="82"/>
      <c r="Y34" s="82"/>
      <c r="Z34" s="82"/>
      <c r="AA34" s="82"/>
      <c r="AB34" s="82"/>
      <c r="AC34" s="82"/>
      <c r="AD34" s="82"/>
      <c r="AE34" s="82"/>
      <c r="AF34" s="82"/>
      <c r="AG34" s="82"/>
      <c r="AH34" s="82"/>
      <c r="AI34" s="82"/>
      <c r="AJ34" s="82"/>
      <c r="AK34" s="82"/>
      <c r="AL34" s="82"/>
      <c r="AM34" s="82"/>
      <c r="AN34" s="82"/>
      <c r="AO34" s="82"/>
      <c r="AP34" s="82"/>
      <c r="AQ34" s="82"/>
      <c r="AR34" s="83"/>
      <c r="AS34" s="77"/>
      <c r="AT34" s="77"/>
      <c r="AU34" s="77"/>
      <c r="AV34" s="77"/>
    </row>
    <row r="35" spans="1:48" x14ac:dyDescent="0.2">
      <c r="A35" s="4"/>
      <c r="B35" s="76"/>
      <c r="C35" s="76"/>
      <c r="D35" s="76"/>
      <c r="E35" s="78"/>
      <c r="F35" s="79"/>
      <c r="G35" s="79"/>
      <c r="H35" s="79"/>
      <c r="I35" s="79"/>
      <c r="J35" s="80"/>
      <c r="K35" s="81"/>
      <c r="L35" s="82"/>
      <c r="M35" s="82"/>
      <c r="N35" s="82"/>
      <c r="O35" s="82"/>
      <c r="P35" s="82"/>
      <c r="Q35" s="82"/>
      <c r="R35" s="82"/>
      <c r="S35" s="82"/>
      <c r="T35" s="82"/>
      <c r="U35" s="83"/>
      <c r="V35" s="81"/>
      <c r="W35" s="82"/>
      <c r="X35" s="82"/>
      <c r="Y35" s="82"/>
      <c r="Z35" s="82"/>
      <c r="AA35" s="82"/>
      <c r="AB35" s="82"/>
      <c r="AC35" s="82"/>
      <c r="AD35" s="82"/>
      <c r="AE35" s="82"/>
      <c r="AF35" s="82"/>
      <c r="AG35" s="82"/>
      <c r="AH35" s="82"/>
      <c r="AI35" s="82"/>
      <c r="AJ35" s="82"/>
      <c r="AK35" s="82"/>
      <c r="AL35" s="82"/>
      <c r="AM35" s="82"/>
      <c r="AN35" s="82"/>
      <c r="AO35" s="82"/>
      <c r="AP35" s="82"/>
      <c r="AQ35" s="82"/>
      <c r="AR35" s="83"/>
      <c r="AS35" s="77"/>
      <c r="AT35" s="77"/>
      <c r="AU35" s="77"/>
      <c r="AV35" s="77"/>
    </row>
    <row r="36" spans="1:48" x14ac:dyDescent="0.2">
      <c r="A36" s="4"/>
      <c r="B36" s="76"/>
      <c r="C36" s="76"/>
      <c r="D36" s="76"/>
      <c r="E36" s="78"/>
      <c r="F36" s="79"/>
      <c r="G36" s="79"/>
      <c r="H36" s="79"/>
      <c r="I36" s="79"/>
      <c r="J36" s="80"/>
      <c r="K36" s="81"/>
      <c r="L36" s="82"/>
      <c r="M36" s="82"/>
      <c r="N36" s="82"/>
      <c r="O36" s="82"/>
      <c r="P36" s="82"/>
      <c r="Q36" s="82"/>
      <c r="R36" s="82"/>
      <c r="S36" s="82"/>
      <c r="T36" s="82"/>
      <c r="U36" s="83"/>
      <c r="V36" s="81"/>
      <c r="W36" s="82"/>
      <c r="X36" s="82"/>
      <c r="Y36" s="82"/>
      <c r="Z36" s="82"/>
      <c r="AA36" s="82"/>
      <c r="AB36" s="82"/>
      <c r="AC36" s="82"/>
      <c r="AD36" s="82"/>
      <c r="AE36" s="82"/>
      <c r="AF36" s="82"/>
      <c r="AG36" s="82"/>
      <c r="AH36" s="82"/>
      <c r="AI36" s="82"/>
      <c r="AJ36" s="82"/>
      <c r="AK36" s="82"/>
      <c r="AL36" s="82"/>
      <c r="AM36" s="82"/>
      <c r="AN36" s="82"/>
      <c r="AO36" s="82"/>
      <c r="AP36" s="82"/>
      <c r="AQ36" s="82"/>
      <c r="AR36" s="83"/>
      <c r="AS36" s="77"/>
      <c r="AT36" s="77"/>
      <c r="AU36" s="77"/>
      <c r="AV36" s="77"/>
    </row>
    <row r="37" spans="1:48" x14ac:dyDescent="0.2">
      <c r="A37" s="4"/>
      <c r="B37" s="76"/>
      <c r="C37" s="76"/>
      <c r="D37" s="76"/>
      <c r="E37" s="78"/>
      <c r="F37" s="79"/>
      <c r="G37" s="79"/>
      <c r="H37" s="79"/>
      <c r="I37" s="79"/>
      <c r="J37" s="80"/>
      <c r="K37" s="81"/>
      <c r="L37" s="82"/>
      <c r="M37" s="82"/>
      <c r="N37" s="82"/>
      <c r="O37" s="82"/>
      <c r="P37" s="82"/>
      <c r="Q37" s="82"/>
      <c r="R37" s="82"/>
      <c r="S37" s="82"/>
      <c r="T37" s="82"/>
      <c r="U37" s="83"/>
      <c r="V37" s="81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  <c r="AH37" s="82"/>
      <c r="AI37" s="82"/>
      <c r="AJ37" s="82"/>
      <c r="AK37" s="82"/>
      <c r="AL37" s="82"/>
      <c r="AM37" s="82"/>
      <c r="AN37" s="82"/>
      <c r="AO37" s="82"/>
      <c r="AP37" s="82"/>
      <c r="AQ37" s="82"/>
      <c r="AR37" s="83"/>
      <c r="AS37" s="77"/>
      <c r="AT37" s="77"/>
      <c r="AU37" s="77"/>
      <c r="AV37" s="77"/>
    </row>
    <row r="38" spans="1:48" x14ac:dyDescent="0.2">
      <c r="A38" s="4"/>
      <c r="B38" s="76"/>
      <c r="C38" s="76"/>
      <c r="D38" s="76"/>
      <c r="E38" s="78"/>
      <c r="F38" s="79"/>
      <c r="G38" s="79"/>
      <c r="H38" s="79"/>
      <c r="I38" s="79"/>
      <c r="J38" s="80"/>
      <c r="K38" s="81"/>
      <c r="L38" s="82"/>
      <c r="M38" s="82"/>
      <c r="N38" s="82"/>
      <c r="O38" s="82"/>
      <c r="P38" s="82"/>
      <c r="Q38" s="82"/>
      <c r="R38" s="82"/>
      <c r="S38" s="82"/>
      <c r="T38" s="82"/>
      <c r="U38" s="83"/>
      <c r="V38" s="81"/>
      <c r="W38" s="82"/>
      <c r="X38" s="82"/>
      <c r="Y38" s="82"/>
      <c r="Z38" s="82"/>
      <c r="AA38" s="82"/>
      <c r="AB38" s="82"/>
      <c r="AC38" s="82"/>
      <c r="AD38" s="82"/>
      <c r="AE38" s="82"/>
      <c r="AF38" s="82"/>
      <c r="AG38" s="82"/>
      <c r="AH38" s="82"/>
      <c r="AI38" s="82"/>
      <c r="AJ38" s="82"/>
      <c r="AK38" s="82"/>
      <c r="AL38" s="82"/>
      <c r="AM38" s="82"/>
      <c r="AN38" s="82"/>
      <c r="AO38" s="82"/>
      <c r="AP38" s="82"/>
      <c r="AQ38" s="82"/>
      <c r="AR38" s="83"/>
      <c r="AS38" s="77"/>
      <c r="AT38" s="77"/>
      <c r="AU38" s="77"/>
      <c r="AV38" s="77"/>
    </row>
    <row r="39" spans="1:48" x14ac:dyDescent="0.2">
      <c r="A39" s="4"/>
      <c r="B39" s="76"/>
      <c r="C39" s="76"/>
      <c r="D39" s="76"/>
      <c r="E39" s="78"/>
      <c r="F39" s="79"/>
      <c r="G39" s="79"/>
      <c r="H39" s="79"/>
      <c r="I39" s="79"/>
      <c r="J39" s="80"/>
      <c r="K39" s="81"/>
      <c r="L39" s="82"/>
      <c r="M39" s="82"/>
      <c r="N39" s="82"/>
      <c r="O39" s="82"/>
      <c r="P39" s="82"/>
      <c r="Q39" s="82"/>
      <c r="R39" s="82"/>
      <c r="S39" s="82"/>
      <c r="T39" s="82"/>
      <c r="U39" s="83"/>
      <c r="V39" s="81"/>
      <c r="W39" s="82"/>
      <c r="X39" s="82"/>
      <c r="Y39" s="82"/>
      <c r="Z39" s="82"/>
      <c r="AA39" s="82"/>
      <c r="AB39" s="82"/>
      <c r="AC39" s="82"/>
      <c r="AD39" s="82"/>
      <c r="AE39" s="82"/>
      <c r="AF39" s="82"/>
      <c r="AG39" s="82"/>
      <c r="AH39" s="82"/>
      <c r="AI39" s="82"/>
      <c r="AJ39" s="82"/>
      <c r="AK39" s="82"/>
      <c r="AL39" s="82"/>
      <c r="AM39" s="82"/>
      <c r="AN39" s="82"/>
      <c r="AO39" s="82"/>
      <c r="AP39" s="82"/>
      <c r="AQ39" s="82"/>
      <c r="AR39" s="83"/>
      <c r="AS39" s="77"/>
      <c r="AT39" s="77"/>
      <c r="AU39" s="77"/>
      <c r="AV39" s="77"/>
    </row>
    <row r="40" spans="1:48" x14ac:dyDescent="0.2">
      <c r="A40" s="4"/>
      <c r="B40" s="76"/>
      <c r="C40" s="76"/>
      <c r="D40" s="76"/>
      <c r="E40" s="78"/>
      <c r="F40" s="79"/>
      <c r="G40" s="79"/>
      <c r="H40" s="79"/>
      <c r="I40" s="79"/>
      <c r="J40" s="80"/>
      <c r="K40" s="81"/>
      <c r="L40" s="82"/>
      <c r="M40" s="82"/>
      <c r="N40" s="82"/>
      <c r="O40" s="82"/>
      <c r="P40" s="82"/>
      <c r="Q40" s="82"/>
      <c r="R40" s="82"/>
      <c r="S40" s="82"/>
      <c r="T40" s="82"/>
      <c r="U40" s="83"/>
      <c r="V40" s="81"/>
      <c r="W40" s="82"/>
      <c r="X40" s="82"/>
      <c r="Y40" s="82"/>
      <c r="Z40" s="82"/>
      <c r="AA40" s="82"/>
      <c r="AB40" s="82"/>
      <c r="AC40" s="82"/>
      <c r="AD40" s="82"/>
      <c r="AE40" s="82"/>
      <c r="AF40" s="82"/>
      <c r="AG40" s="82"/>
      <c r="AH40" s="82"/>
      <c r="AI40" s="82"/>
      <c r="AJ40" s="82"/>
      <c r="AK40" s="82"/>
      <c r="AL40" s="82"/>
      <c r="AM40" s="82"/>
      <c r="AN40" s="82"/>
      <c r="AO40" s="82"/>
      <c r="AP40" s="82"/>
      <c r="AQ40" s="82"/>
      <c r="AR40" s="83"/>
      <c r="AS40" s="77"/>
      <c r="AT40" s="77"/>
      <c r="AU40" s="77"/>
      <c r="AV40" s="77"/>
    </row>
    <row r="41" spans="1:48" x14ac:dyDescent="0.2">
      <c r="A41" s="4"/>
      <c r="B41" s="4"/>
      <c r="C41" s="4"/>
      <c r="D41" s="4"/>
      <c r="E41" s="4"/>
      <c r="F41" s="4"/>
    </row>
  </sheetData>
  <mergeCells count="187">
    <mergeCell ref="AS2:AU2"/>
    <mergeCell ref="AV2:BA2"/>
    <mergeCell ref="B3:G3"/>
    <mergeCell ref="H3:L3"/>
    <mergeCell ref="M3:S3"/>
    <mergeCell ref="T3:AF3"/>
    <mergeCell ref="AJ3:AL3"/>
    <mergeCell ref="AM3:AR3"/>
    <mergeCell ref="AS3:AU3"/>
    <mergeCell ref="AV3:BA3"/>
    <mergeCell ref="B2:G2"/>
    <mergeCell ref="H2:L2"/>
    <mergeCell ref="M2:S2"/>
    <mergeCell ref="T2:AF2"/>
    <mergeCell ref="AM4:AR4"/>
    <mergeCell ref="AS4:AU4"/>
    <mergeCell ref="AV4:BA4"/>
    <mergeCell ref="B8:D8"/>
    <mergeCell ref="AS8:AV8"/>
    <mergeCell ref="B4:G4"/>
    <mergeCell ref="H4:L4"/>
    <mergeCell ref="M4:S4"/>
    <mergeCell ref="T4:AF4"/>
    <mergeCell ref="AJ4:AL4"/>
    <mergeCell ref="E8:J8"/>
    <mergeCell ref="K8:U8"/>
    <mergeCell ref="V8:AR8"/>
    <mergeCell ref="B10:D10"/>
    <mergeCell ref="AS10:AV10"/>
    <mergeCell ref="B9:D9"/>
    <mergeCell ref="AS9:AV9"/>
    <mergeCell ref="E9:J9"/>
    <mergeCell ref="E10:J10"/>
    <mergeCell ref="K9:U9"/>
    <mergeCell ref="K10:U10"/>
    <mergeCell ref="V9:AR9"/>
    <mergeCell ref="V10:AR10"/>
    <mergeCell ref="B12:D12"/>
    <mergeCell ref="AS12:AV12"/>
    <mergeCell ref="B11:D11"/>
    <mergeCell ref="AS11:AV11"/>
    <mergeCell ref="E11:J11"/>
    <mergeCell ref="E12:J12"/>
    <mergeCell ref="K11:U11"/>
    <mergeCell ref="K12:U12"/>
    <mergeCell ref="V11:AR11"/>
    <mergeCell ref="V12:AR12"/>
    <mergeCell ref="B14:D14"/>
    <mergeCell ref="AS14:AV14"/>
    <mergeCell ref="B13:D13"/>
    <mergeCell ref="AS13:AV13"/>
    <mergeCell ref="E13:J13"/>
    <mergeCell ref="E14:J14"/>
    <mergeCell ref="K13:U13"/>
    <mergeCell ref="K14:U14"/>
    <mergeCell ref="V13:AR13"/>
    <mergeCell ref="V14:AR14"/>
    <mergeCell ref="B16:D16"/>
    <mergeCell ref="AS16:AV16"/>
    <mergeCell ref="B15:D15"/>
    <mergeCell ref="AS15:AV15"/>
    <mergeCell ref="E15:J15"/>
    <mergeCell ref="E16:J16"/>
    <mergeCell ref="K15:U15"/>
    <mergeCell ref="K16:U16"/>
    <mergeCell ref="V15:AR15"/>
    <mergeCell ref="V16:AR16"/>
    <mergeCell ref="B18:D18"/>
    <mergeCell ref="AS18:AV18"/>
    <mergeCell ref="B17:D17"/>
    <mergeCell ref="AS17:AV17"/>
    <mergeCell ref="E17:J17"/>
    <mergeCell ref="E18:J18"/>
    <mergeCell ref="K17:U17"/>
    <mergeCell ref="K18:U18"/>
    <mergeCell ref="V17:AR17"/>
    <mergeCell ref="V18:AR18"/>
    <mergeCell ref="B20:D20"/>
    <mergeCell ref="AS20:AV20"/>
    <mergeCell ref="B19:D19"/>
    <mergeCell ref="AS19:AV19"/>
    <mergeCell ref="E19:J19"/>
    <mergeCell ref="E20:J20"/>
    <mergeCell ref="K19:U19"/>
    <mergeCell ref="K20:U20"/>
    <mergeCell ref="V19:AR19"/>
    <mergeCell ref="V20:AR20"/>
    <mergeCell ref="B22:D22"/>
    <mergeCell ref="AS22:AV22"/>
    <mergeCell ref="B21:D21"/>
    <mergeCell ref="AS21:AV21"/>
    <mergeCell ref="E21:J21"/>
    <mergeCell ref="E22:J22"/>
    <mergeCell ref="K21:U21"/>
    <mergeCell ref="K22:U22"/>
    <mergeCell ref="V21:AR21"/>
    <mergeCell ref="V22:AR22"/>
    <mergeCell ref="B24:D24"/>
    <mergeCell ref="AS24:AV24"/>
    <mergeCell ref="B23:D23"/>
    <mergeCell ref="AS23:AV23"/>
    <mergeCell ref="E23:J23"/>
    <mergeCell ref="E24:J24"/>
    <mergeCell ref="K23:U23"/>
    <mergeCell ref="K24:U24"/>
    <mergeCell ref="V23:AR23"/>
    <mergeCell ref="V24:AR24"/>
    <mergeCell ref="B26:D26"/>
    <mergeCell ref="AS26:AV26"/>
    <mergeCell ref="B25:D25"/>
    <mergeCell ref="AS25:AV25"/>
    <mergeCell ref="E25:J25"/>
    <mergeCell ref="E26:J26"/>
    <mergeCell ref="K25:U25"/>
    <mergeCell ref="K26:U26"/>
    <mergeCell ref="V25:AR25"/>
    <mergeCell ref="V26:AR26"/>
    <mergeCell ref="B28:D28"/>
    <mergeCell ref="AS28:AV28"/>
    <mergeCell ref="B27:D27"/>
    <mergeCell ref="AS27:AV27"/>
    <mergeCell ref="E27:J27"/>
    <mergeCell ref="E28:J28"/>
    <mergeCell ref="K27:U27"/>
    <mergeCell ref="K28:U28"/>
    <mergeCell ref="V27:AR27"/>
    <mergeCell ref="V28:AR28"/>
    <mergeCell ref="B30:D30"/>
    <mergeCell ref="AS30:AV30"/>
    <mergeCell ref="B29:D29"/>
    <mergeCell ref="AS29:AV29"/>
    <mergeCell ref="E29:J29"/>
    <mergeCell ref="E30:J30"/>
    <mergeCell ref="K29:U29"/>
    <mergeCell ref="K30:U30"/>
    <mergeCell ref="V29:AR29"/>
    <mergeCell ref="V30:AR30"/>
    <mergeCell ref="B32:D32"/>
    <mergeCell ref="AS32:AV32"/>
    <mergeCell ref="B31:D31"/>
    <mergeCell ref="AS31:AV31"/>
    <mergeCell ref="E31:J31"/>
    <mergeCell ref="E32:J32"/>
    <mergeCell ref="K31:U31"/>
    <mergeCell ref="K32:U32"/>
    <mergeCell ref="V31:AR31"/>
    <mergeCell ref="V32:AR32"/>
    <mergeCell ref="B34:D34"/>
    <mergeCell ref="AS34:AV34"/>
    <mergeCell ref="B33:D33"/>
    <mergeCell ref="AS33:AV33"/>
    <mergeCell ref="E33:J33"/>
    <mergeCell ref="E34:J34"/>
    <mergeCell ref="K33:U33"/>
    <mergeCell ref="K34:U34"/>
    <mergeCell ref="V33:AR33"/>
    <mergeCell ref="V34:AR34"/>
    <mergeCell ref="B36:D36"/>
    <mergeCell ref="AS36:AV36"/>
    <mergeCell ref="B35:D35"/>
    <mergeCell ref="AS35:AV35"/>
    <mergeCell ref="E35:J35"/>
    <mergeCell ref="E36:J36"/>
    <mergeCell ref="K35:U35"/>
    <mergeCell ref="K36:U36"/>
    <mergeCell ref="V35:AR35"/>
    <mergeCell ref="V36:AR36"/>
    <mergeCell ref="B38:D38"/>
    <mergeCell ref="AS38:AV38"/>
    <mergeCell ref="B37:D37"/>
    <mergeCell ref="AS37:AV37"/>
    <mergeCell ref="E37:J37"/>
    <mergeCell ref="E38:J38"/>
    <mergeCell ref="K37:U37"/>
    <mergeCell ref="K38:U38"/>
    <mergeCell ref="V37:AR37"/>
    <mergeCell ref="V38:AR38"/>
    <mergeCell ref="B40:D40"/>
    <mergeCell ref="AS40:AV40"/>
    <mergeCell ref="B39:D39"/>
    <mergeCell ref="AS39:AV39"/>
    <mergeCell ref="E39:J39"/>
    <mergeCell ref="E40:J40"/>
    <mergeCell ref="K39:U39"/>
    <mergeCell ref="K40:U40"/>
    <mergeCell ref="V39:AR39"/>
    <mergeCell ref="V40:AR40"/>
  </mergeCells>
  <phoneticPr fontId="6"/>
  <pageMargins left="0.70866141732283472" right="0.70866141732283472" top="0.74803149606299213" bottom="0.74803149606299213" header="0.31496062992125984" footer="0.31496062992125984"/>
  <pageSetup paperSize="9" scale="97" orientation="landscape" r:id="rId1"/>
  <headerFooter>
    <oddFooter>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7DBF5-C495-4DAA-9119-1140A0EB1543}">
  <dimension ref="B2:G36"/>
  <sheetViews>
    <sheetView showGridLines="0" view="pageBreakPreview" zoomScale="85" zoomScaleNormal="100" zoomScaleSheetLayoutView="85" workbookViewId="0">
      <pane ySplit="4" topLeftCell="A5" activePane="bottomLeft" state="frozen"/>
      <selection pane="bottomLeft" activeCell="A2" sqref="A2"/>
    </sheetView>
  </sheetViews>
  <sheetFormatPr defaultColWidth="2.6328125" defaultRowHeight="13" x14ac:dyDescent="0.2"/>
  <cols>
    <col min="1" max="1" width="2.6328125" style="5"/>
    <col min="2" max="2" width="29.7265625" style="5" bestFit="1" customWidth="1"/>
    <col min="3" max="3" width="12.7265625" style="5" bestFit="1" customWidth="1"/>
    <col min="4" max="4" width="12.26953125" style="5" bestFit="1" customWidth="1"/>
    <col min="5" max="5" width="23.90625" style="5" bestFit="1" customWidth="1"/>
    <col min="6" max="6" width="17" style="5" bestFit="1" customWidth="1"/>
    <col min="7" max="7" width="61.1796875" style="5" bestFit="1" customWidth="1"/>
    <col min="8" max="16384" width="2.6328125" style="5"/>
  </cols>
  <sheetData>
    <row r="2" spans="2:7" ht="13.5" customHeight="1" x14ac:dyDescent="0.2">
      <c r="B2" s="111" t="s">
        <v>123</v>
      </c>
      <c r="C2" s="6"/>
      <c r="D2" s="6"/>
      <c r="E2" s="6"/>
      <c r="F2" s="6"/>
      <c r="G2" s="6"/>
    </row>
    <row r="3" spans="2:7" ht="13.5" customHeight="1" x14ac:dyDescent="0.2">
      <c r="B3" s="9"/>
      <c r="C3" s="6"/>
      <c r="D3" s="6"/>
      <c r="E3" s="6"/>
      <c r="F3" s="6"/>
      <c r="G3" s="6"/>
    </row>
    <row r="4" spans="2:7" ht="13.5" customHeight="1" x14ac:dyDescent="0.2">
      <c r="B4" s="109" t="s">
        <v>113</v>
      </c>
      <c r="C4" s="109" t="s">
        <v>114</v>
      </c>
      <c r="D4" s="109" t="s">
        <v>5</v>
      </c>
      <c r="E4" s="109" t="s">
        <v>7</v>
      </c>
      <c r="F4" s="109" t="s">
        <v>23</v>
      </c>
      <c r="G4" s="109" t="s">
        <v>24</v>
      </c>
    </row>
    <row r="5" spans="2:7" ht="12.75" customHeight="1" x14ac:dyDescent="0.2">
      <c r="B5" s="67" t="s">
        <v>25</v>
      </c>
      <c r="C5" s="67" t="s">
        <v>115</v>
      </c>
      <c r="D5" s="67" t="s">
        <v>125</v>
      </c>
      <c r="E5" s="67" t="s">
        <v>26</v>
      </c>
      <c r="F5" s="67" t="s">
        <v>126</v>
      </c>
      <c r="G5" s="67" t="s">
        <v>27</v>
      </c>
    </row>
    <row r="6" spans="2:7" ht="12.75" customHeight="1" x14ac:dyDescent="0.2">
      <c r="B6" s="67" t="s">
        <v>25</v>
      </c>
      <c r="C6" s="67" t="s">
        <v>115</v>
      </c>
      <c r="D6" s="67" t="s">
        <v>127</v>
      </c>
      <c r="E6" s="67" t="s">
        <v>28</v>
      </c>
      <c r="F6" s="110" t="s">
        <v>243</v>
      </c>
      <c r="G6" s="67" t="s">
        <v>29</v>
      </c>
    </row>
    <row r="7" spans="2:7" ht="12.75" customHeight="1" x14ac:dyDescent="0.2">
      <c r="B7" s="67" t="s">
        <v>25</v>
      </c>
      <c r="C7" s="67" t="s">
        <v>115</v>
      </c>
      <c r="D7" s="67" t="s">
        <v>128</v>
      </c>
      <c r="E7" s="67" t="s">
        <v>30</v>
      </c>
      <c r="F7" s="67" t="s">
        <v>244</v>
      </c>
      <c r="G7" s="67" t="s">
        <v>31</v>
      </c>
    </row>
    <row r="8" spans="2:7" ht="12.75" customHeight="1" x14ac:dyDescent="0.2">
      <c r="B8" s="67" t="s">
        <v>25</v>
      </c>
      <c r="C8" s="67" t="s">
        <v>115</v>
      </c>
      <c r="D8" s="67" t="s">
        <v>129</v>
      </c>
      <c r="E8" s="67" t="s">
        <v>32</v>
      </c>
      <c r="F8" s="67" t="s">
        <v>245</v>
      </c>
      <c r="G8" s="67" t="s">
        <v>33</v>
      </c>
    </row>
    <row r="9" spans="2:7" ht="13" customHeight="1" x14ac:dyDescent="0.2">
      <c r="B9" s="67" t="s">
        <v>25</v>
      </c>
      <c r="C9" s="67" t="s">
        <v>115</v>
      </c>
      <c r="D9" s="67" t="s">
        <v>130</v>
      </c>
      <c r="E9" s="67" t="s">
        <v>34</v>
      </c>
      <c r="F9" s="67" t="s">
        <v>246</v>
      </c>
      <c r="G9" s="67" t="s">
        <v>35</v>
      </c>
    </row>
    <row r="10" spans="2:7" ht="13" customHeight="1" x14ac:dyDescent="0.2">
      <c r="B10" s="67" t="s">
        <v>25</v>
      </c>
      <c r="C10" s="67" t="s">
        <v>115</v>
      </c>
      <c r="D10" s="67" t="s">
        <v>131</v>
      </c>
      <c r="E10" s="67" t="s">
        <v>36</v>
      </c>
      <c r="F10" s="67" t="s">
        <v>247</v>
      </c>
      <c r="G10" s="67" t="s">
        <v>37</v>
      </c>
    </row>
    <row r="11" spans="2:7" ht="13" customHeight="1" x14ac:dyDescent="0.2">
      <c r="B11" s="67" t="s">
        <v>25</v>
      </c>
      <c r="C11" s="67" t="s">
        <v>115</v>
      </c>
      <c r="D11" s="67" t="s">
        <v>132</v>
      </c>
      <c r="E11" s="67" t="s">
        <v>66</v>
      </c>
      <c r="F11" s="67" t="s">
        <v>248</v>
      </c>
      <c r="G11" s="67"/>
    </row>
    <row r="12" spans="2:7" ht="13" customHeight="1" x14ac:dyDescent="0.2">
      <c r="B12" s="67" t="s">
        <v>25</v>
      </c>
      <c r="C12" s="67" t="s">
        <v>115</v>
      </c>
      <c r="D12" s="67" t="s">
        <v>133</v>
      </c>
      <c r="E12" s="67" t="s">
        <v>38</v>
      </c>
      <c r="F12" s="67" t="s">
        <v>249</v>
      </c>
      <c r="G12" s="67" t="s">
        <v>102</v>
      </c>
    </row>
    <row r="13" spans="2:7" ht="13" customHeight="1" x14ac:dyDescent="0.2">
      <c r="B13" s="67" t="s">
        <v>25</v>
      </c>
      <c r="C13" s="67" t="s">
        <v>115</v>
      </c>
      <c r="D13" s="67" t="s">
        <v>134</v>
      </c>
      <c r="E13" s="67" t="s">
        <v>67</v>
      </c>
      <c r="F13" s="67" t="s">
        <v>250</v>
      </c>
      <c r="G13" s="67" t="s">
        <v>39</v>
      </c>
    </row>
    <row r="14" spans="2:7" ht="13" customHeight="1" x14ac:dyDescent="0.2">
      <c r="B14" s="67" t="s">
        <v>25</v>
      </c>
      <c r="C14" s="67" t="s">
        <v>115</v>
      </c>
      <c r="D14" s="67" t="s">
        <v>135</v>
      </c>
      <c r="E14" s="67" t="s">
        <v>68</v>
      </c>
      <c r="F14" s="67" t="s">
        <v>251</v>
      </c>
      <c r="G14" s="67" t="s">
        <v>69</v>
      </c>
    </row>
    <row r="15" spans="2:7" ht="13" customHeight="1" x14ac:dyDescent="0.2">
      <c r="B15" s="67" t="s">
        <v>25</v>
      </c>
      <c r="C15" s="67" t="s">
        <v>115</v>
      </c>
      <c r="D15" s="67" t="s">
        <v>136</v>
      </c>
      <c r="E15" s="67" t="s">
        <v>40</v>
      </c>
      <c r="F15" s="67" t="s">
        <v>252</v>
      </c>
      <c r="G15" s="67" t="s">
        <v>73</v>
      </c>
    </row>
    <row r="16" spans="2:7" ht="13" customHeight="1" x14ac:dyDescent="0.2">
      <c r="B16" s="67" t="s">
        <v>25</v>
      </c>
      <c r="C16" s="67" t="s">
        <v>115</v>
      </c>
      <c r="D16" s="67" t="s">
        <v>137</v>
      </c>
      <c r="E16" s="67" t="s">
        <v>72</v>
      </c>
      <c r="F16" s="67" t="s">
        <v>253</v>
      </c>
      <c r="G16" s="67" t="s">
        <v>72</v>
      </c>
    </row>
    <row r="17" spans="2:7" ht="13" customHeight="1" x14ac:dyDescent="0.2">
      <c r="B17" s="67" t="s">
        <v>25</v>
      </c>
      <c r="C17" s="67" t="s">
        <v>115</v>
      </c>
      <c r="D17" s="67" t="s">
        <v>138</v>
      </c>
      <c r="E17" s="67" t="s">
        <v>41</v>
      </c>
      <c r="F17" s="67" t="s">
        <v>254</v>
      </c>
      <c r="G17" s="67" t="s">
        <v>41</v>
      </c>
    </row>
    <row r="18" spans="2:7" ht="13" customHeight="1" x14ac:dyDescent="0.2">
      <c r="B18" s="67" t="s">
        <v>25</v>
      </c>
      <c r="C18" s="67" t="s">
        <v>115</v>
      </c>
      <c r="D18" s="67" t="s">
        <v>139</v>
      </c>
      <c r="E18" s="67" t="s">
        <v>42</v>
      </c>
      <c r="F18" s="67" t="s">
        <v>255</v>
      </c>
      <c r="G18" s="67" t="s">
        <v>43</v>
      </c>
    </row>
    <row r="19" spans="2:7" ht="13" customHeight="1" x14ac:dyDescent="0.2">
      <c r="B19" s="67" t="s">
        <v>25</v>
      </c>
      <c r="C19" s="67" t="s">
        <v>115</v>
      </c>
      <c r="D19" s="67" t="s">
        <v>140</v>
      </c>
      <c r="E19" s="67" t="s">
        <v>44</v>
      </c>
      <c r="F19" s="67" t="s">
        <v>256</v>
      </c>
      <c r="G19" s="67" t="s">
        <v>45</v>
      </c>
    </row>
    <row r="20" spans="2:7" ht="13" customHeight="1" x14ac:dyDescent="0.2">
      <c r="B20" s="67" t="s">
        <v>25</v>
      </c>
      <c r="C20" s="67" t="s">
        <v>115</v>
      </c>
      <c r="D20" s="67" t="s">
        <v>141</v>
      </c>
      <c r="E20" s="67" t="s">
        <v>75</v>
      </c>
      <c r="F20" s="67" t="s">
        <v>257</v>
      </c>
      <c r="G20" s="67" t="s">
        <v>74</v>
      </c>
    </row>
    <row r="21" spans="2:7" ht="13" customHeight="1" x14ac:dyDescent="0.2">
      <c r="B21" s="67" t="s">
        <v>25</v>
      </c>
      <c r="C21" s="67" t="s">
        <v>115</v>
      </c>
      <c r="D21" s="67" t="s">
        <v>142</v>
      </c>
      <c r="E21" s="67" t="s">
        <v>46</v>
      </c>
      <c r="F21" s="67" t="s">
        <v>258</v>
      </c>
      <c r="G21" s="67" t="s">
        <v>76</v>
      </c>
    </row>
    <row r="22" spans="2:7" ht="13" customHeight="1" x14ac:dyDescent="0.2">
      <c r="B22" s="67" t="s">
        <v>47</v>
      </c>
      <c r="C22" s="67" t="s">
        <v>115</v>
      </c>
      <c r="D22" s="67" t="s">
        <v>143</v>
      </c>
      <c r="E22" s="67" t="s">
        <v>48</v>
      </c>
      <c r="F22" s="67" t="s">
        <v>259</v>
      </c>
      <c r="G22" s="67" t="s">
        <v>103</v>
      </c>
    </row>
    <row r="23" spans="2:7" ht="13" customHeight="1" x14ac:dyDescent="0.2">
      <c r="B23" s="67" t="s">
        <v>47</v>
      </c>
      <c r="C23" s="67" t="s">
        <v>115</v>
      </c>
      <c r="D23" s="67" t="s">
        <v>144</v>
      </c>
      <c r="E23" s="67" t="s">
        <v>100</v>
      </c>
      <c r="F23" s="67" t="s">
        <v>260</v>
      </c>
      <c r="G23" s="67" t="s">
        <v>100</v>
      </c>
    </row>
    <row r="24" spans="2:7" ht="13" customHeight="1" x14ac:dyDescent="0.2">
      <c r="B24" s="67" t="s">
        <v>47</v>
      </c>
      <c r="C24" s="67" t="s">
        <v>115</v>
      </c>
      <c r="D24" s="67" t="s">
        <v>145</v>
      </c>
      <c r="E24" s="67" t="s">
        <v>101</v>
      </c>
      <c r="F24" s="67" t="s">
        <v>261</v>
      </c>
      <c r="G24" s="67" t="s">
        <v>101</v>
      </c>
    </row>
    <row r="25" spans="2:7" x14ac:dyDescent="0.2">
      <c r="B25" s="67"/>
      <c r="C25" s="67"/>
      <c r="D25" s="67"/>
      <c r="E25" s="67"/>
      <c r="F25" s="67"/>
      <c r="G25" s="67"/>
    </row>
    <row r="26" spans="2:7" x14ac:dyDescent="0.2">
      <c r="B26" s="67"/>
      <c r="C26" s="67"/>
      <c r="D26" s="67"/>
      <c r="E26" s="67"/>
      <c r="F26" s="67"/>
      <c r="G26" s="67"/>
    </row>
    <row r="27" spans="2:7" x14ac:dyDescent="0.2">
      <c r="B27" s="67"/>
      <c r="C27" s="67"/>
      <c r="D27" s="67"/>
      <c r="E27" s="67"/>
      <c r="F27" s="67"/>
      <c r="G27" s="67"/>
    </row>
    <row r="28" spans="2:7" x14ac:dyDescent="0.2">
      <c r="B28" s="67"/>
      <c r="C28" s="67"/>
      <c r="D28" s="67"/>
      <c r="E28" s="67"/>
      <c r="F28" s="67"/>
      <c r="G28" s="67"/>
    </row>
    <row r="29" spans="2:7" x14ac:dyDescent="0.2">
      <c r="B29" s="67"/>
      <c r="C29" s="67"/>
      <c r="D29" s="67"/>
      <c r="E29" s="67"/>
      <c r="F29" s="67"/>
      <c r="G29" s="67"/>
    </row>
    <row r="30" spans="2:7" x14ac:dyDescent="0.2">
      <c r="B30" s="67"/>
      <c r="C30" s="67"/>
      <c r="D30" s="67"/>
      <c r="E30" s="67"/>
      <c r="F30" s="67"/>
      <c r="G30" s="67"/>
    </row>
    <row r="31" spans="2:7" x14ac:dyDescent="0.2">
      <c r="B31" s="67"/>
      <c r="C31" s="67"/>
      <c r="D31" s="67"/>
      <c r="E31" s="67"/>
      <c r="F31" s="67"/>
      <c r="G31" s="67"/>
    </row>
    <row r="32" spans="2:7" x14ac:dyDescent="0.2">
      <c r="B32" s="67"/>
      <c r="C32" s="67"/>
      <c r="D32" s="67"/>
      <c r="E32" s="67"/>
      <c r="F32" s="67"/>
      <c r="G32" s="67"/>
    </row>
    <row r="33" spans="2:7" x14ac:dyDescent="0.2">
      <c r="B33" s="67"/>
      <c r="C33" s="67"/>
      <c r="D33" s="67"/>
      <c r="E33" s="67"/>
      <c r="F33" s="67"/>
      <c r="G33" s="67"/>
    </row>
    <row r="34" spans="2:7" x14ac:dyDescent="0.2">
      <c r="B34" s="67"/>
      <c r="C34" s="67"/>
      <c r="D34" s="67"/>
      <c r="E34" s="67"/>
      <c r="F34" s="67"/>
      <c r="G34" s="67"/>
    </row>
    <row r="35" spans="2:7" x14ac:dyDescent="0.2">
      <c r="B35" s="67"/>
      <c r="C35" s="67"/>
      <c r="D35" s="67"/>
      <c r="E35" s="67"/>
      <c r="F35" s="67"/>
      <c r="G35" s="67"/>
    </row>
    <row r="36" spans="2:7" x14ac:dyDescent="0.2">
      <c r="B36" s="67"/>
      <c r="C36" s="67"/>
      <c r="D36" s="67"/>
      <c r="E36" s="67"/>
      <c r="F36" s="67"/>
      <c r="G36" s="67"/>
    </row>
  </sheetData>
  <autoFilter ref="B4:G4" xr:uid="{3B1602E9-BE36-4A22-B587-CF701279F8ED}"/>
  <phoneticPr fontId="3"/>
  <pageMargins left="0.39370078740157483" right="0.39370078740157483" top="0.59055118110236227" bottom="0.59055118110236227" header="0.31496062992125984" footer="0.31496062992125984"/>
  <pageSetup paperSize="9" scale="53" orientation="landscape" r:id="rId1"/>
  <headerFooter>
    <oddFooter>&amp;P / &amp;N ページ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F7C6C-29CC-4C2C-888E-D29D5F9D5DA4}">
  <dimension ref="B2:I23"/>
  <sheetViews>
    <sheetView showGridLines="0" view="pageBreakPreview" zoomScale="70" zoomScaleNormal="100" zoomScaleSheetLayoutView="70" workbookViewId="0">
      <pane ySplit="4" topLeftCell="A5" activePane="bottomLeft" state="frozen"/>
      <selection pane="bottomLeft" activeCell="A5" sqref="A5"/>
    </sheetView>
  </sheetViews>
  <sheetFormatPr defaultColWidth="2.6328125" defaultRowHeight="13" x14ac:dyDescent="0.2"/>
  <cols>
    <col min="1" max="1" width="2.6328125" style="5"/>
    <col min="2" max="2" width="8.81640625" style="5" customWidth="1"/>
    <col min="3" max="3" width="18.1796875" style="5" bestFit="1" customWidth="1"/>
    <col min="4" max="4" width="34.453125" style="5" bestFit="1" customWidth="1"/>
    <col min="5" max="5" width="26.26953125" style="5" bestFit="1" customWidth="1"/>
    <col min="6" max="6" width="26.26953125" style="5" customWidth="1"/>
    <col min="7" max="7" width="54.7265625" style="5" bestFit="1" customWidth="1"/>
    <col min="8" max="8" width="21.54296875" style="5" bestFit="1" customWidth="1"/>
    <col min="9" max="9" width="47.26953125" style="5" bestFit="1" customWidth="1"/>
    <col min="10" max="16384" width="2.6328125" style="5"/>
  </cols>
  <sheetData>
    <row r="2" spans="2:9" ht="13.5" customHeight="1" x14ac:dyDescent="0.2">
      <c r="B2" s="112" t="s">
        <v>239</v>
      </c>
    </row>
    <row r="3" spans="2:9" ht="13.5" customHeight="1" x14ac:dyDescent="0.2"/>
    <row r="4" spans="2:9" ht="13.5" customHeight="1" x14ac:dyDescent="0.2">
      <c r="B4" s="108" t="s">
        <v>170</v>
      </c>
      <c r="C4" s="108" t="s">
        <v>171</v>
      </c>
      <c r="D4" s="108" t="s">
        <v>172</v>
      </c>
      <c r="E4" s="108" t="s">
        <v>173</v>
      </c>
      <c r="F4" s="108" t="s">
        <v>240</v>
      </c>
      <c r="G4" s="108" t="s">
        <v>174</v>
      </c>
      <c r="H4" s="108" t="s">
        <v>175</v>
      </c>
      <c r="I4" s="108" t="s">
        <v>176</v>
      </c>
    </row>
    <row r="5" spans="2:9" ht="12.75" customHeight="1" x14ac:dyDescent="0.2">
      <c r="B5" s="103" t="s">
        <v>177</v>
      </c>
      <c r="C5" s="107" t="s">
        <v>178</v>
      </c>
      <c r="D5" s="107" t="s">
        <v>179</v>
      </c>
      <c r="E5" s="107" t="s">
        <v>180</v>
      </c>
      <c r="F5" s="107" t="s">
        <v>242</v>
      </c>
      <c r="G5" s="107" t="s">
        <v>181</v>
      </c>
      <c r="H5" s="107" t="s">
        <v>3</v>
      </c>
      <c r="I5" s="107" t="s">
        <v>182</v>
      </c>
    </row>
    <row r="6" spans="2:9" ht="12.75" customHeight="1" x14ac:dyDescent="0.2">
      <c r="B6" s="103" t="s">
        <v>177</v>
      </c>
      <c r="C6" s="102" t="s">
        <v>184</v>
      </c>
      <c r="D6" s="104" t="s">
        <v>185</v>
      </c>
      <c r="E6" s="104" t="s">
        <v>186</v>
      </c>
      <c r="F6" s="104"/>
      <c r="G6" s="104" t="s">
        <v>187</v>
      </c>
      <c r="H6" s="104" t="s">
        <v>48</v>
      </c>
      <c r="I6" s="104" t="s">
        <v>188</v>
      </c>
    </row>
    <row r="7" spans="2:9" ht="12.75" customHeight="1" x14ac:dyDescent="0.2">
      <c r="B7" s="103" t="s">
        <v>177</v>
      </c>
      <c r="C7" s="102" t="s">
        <v>189</v>
      </c>
      <c r="D7" s="104" t="s">
        <v>190</v>
      </c>
      <c r="E7" s="104" t="s">
        <v>191</v>
      </c>
      <c r="F7" s="104"/>
      <c r="G7" s="104" t="s">
        <v>192</v>
      </c>
      <c r="H7" s="104" t="s">
        <v>28</v>
      </c>
      <c r="I7" s="104" t="s">
        <v>193</v>
      </c>
    </row>
    <row r="8" spans="2:9" ht="13" customHeight="1" x14ac:dyDescent="0.2">
      <c r="B8" s="103" t="s">
        <v>177</v>
      </c>
      <c r="C8" s="102" t="s">
        <v>194</v>
      </c>
      <c r="D8" s="104" t="s">
        <v>195</v>
      </c>
      <c r="E8" s="104" t="s">
        <v>196</v>
      </c>
      <c r="F8" s="104"/>
      <c r="G8" s="104" t="s">
        <v>197</v>
      </c>
      <c r="H8" s="104" t="s">
        <v>198</v>
      </c>
      <c r="I8" s="104" t="s">
        <v>197</v>
      </c>
    </row>
    <row r="9" spans="2:9" ht="13" customHeight="1" x14ac:dyDescent="0.2">
      <c r="B9" s="103" t="s">
        <v>177</v>
      </c>
      <c r="C9" s="102" t="s">
        <v>199</v>
      </c>
      <c r="D9" s="104" t="s">
        <v>200</v>
      </c>
      <c r="E9" s="104" t="s">
        <v>201</v>
      </c>
      <c r="F9" s="104"/>
      <c r="G9" s="104" t="s">
        <v>202</v>
      </c>
      <c r="H9" s="104" t="s">
        <v>203</v>
      </c>
      <c r="I9" s="104" t="s">
        <v>202</v>
      </c>
    </row>
    <row r="10" spans="2:9" ht="13" customHeight="1" x14ac:dyDescent="0.2">
      <c r="B10" s="103" t="s">
        <v>177</v>
      </c>
      <c r="C10" s="102" t="s">
        <v>204</v>
      </c>
      <c r="D10" s="104" t="s">
        <v>205</v>
      </c>
      <c r="E10" s="104" t="s">
        <v>206</v>
      </c>
      <c r="F10" s="104"/>
      <c r="G10" s="104" t="s">
        <v>207</v>
      </c>
      <c r="H10" s="104" t="s">
        <v>208</v>
      </c>
      <c r="I10" s="104" t="s">
        <v>207</v>
      </c>
    </row>
    <row r="11" spans="2:9" ht="13" customHeight="1" x14ac:dyDescent="0.2">
      <c r="B11" s="103" t="s">
        <v>177</v>
      </c>
      <c r="C11" s="102" t="s">
        <v>209</v>
      </c>
      <c r="D11" s="104" t="s">
        <v>210</v>
      </c>
      <c r="E11" s="104" t="s">
        <v>211</v>
      </c>
      <c r="F11" s="104"/>
      <c r="G11" s="104" t="s">
        <v>212</v>
      </c>
      <c r="H11" s="104" t="s">
        <v>213</v>
      </c>
      <c r="I11" s="104" t="s">
        <v>212</v>
      </c>
    </row>
    <row r="12" spans="2:9" ht="13" customHeight="1" x14ac:dyDescent="0.2">
      <c r="B12" s="103" t="s">
        <v>177</v>
      </c>
      <c r="C12" s="102" t="s">
        <v>214</v>
      </c>
      <c r="D12" s="104" t="s">
        <v>215</v>
      </c>
      <c r="E12" s="104" t="s">
        <v>216</v>
      </c>
      <c r="F12" s="104"/>
      <c r="G12" s="104" t="s">
        <v>217</v>
      </c>
      <c r="H12" s="104" t="s">
        <v>218</v>
      </c>
      <c r="I12" s="104" t="s">
        <v>217</v>
      </c>
    </row>
    <row r="13" spans="2:9" ht="13" customHeight="1" x14ac:dyDescent="0.2">
      <c r="B13" s="103" t="s">
        <v>177</v>
      </c>
      <c r="C13" s="102" t="s">
        <v>219</v>
      </c>
      <c r="D13" s="104" t="s">
        <v>220</v>
      </c>
      <c r="E13" s="104" t="s">
        <v>221</v>
      </c>
      <c r="F13" s="104"/>
      <c r="G13" s="104" t="s">
        <v>222</v>
      </c>
      <c r="H13" s="104" t="s">
        <v>223</v>
      </c>
      <c r="I13" s="104" t="s">
        <v>222</v>
      </c>
    </row>
    <row r="14" spans="2:9" ht="13" customHeight="1" x14ac:dyDescent="0.2">
      <c r="B14" s="103" t="s">
        <v>177</v>
      </c>
      <c r="C14" s="102" t="s">
        <v>224</v>
      </c>
      <c r="D14" s="104" t="s">
        <v>65</v>
      </c>
      <c r="E14" s="104" t="s">
        <v>225</v>
      </c>
      <c r="F14" s="104"/>
      <c r="G14" s="104" t="s">
        <v>226</v>
      </c>
      <c r="H14" s="104" t="s">
        <v>227</v>
      </c>
      <c r="I14" s="104" t="s">
        <v>226</v>
      </c>
    </row>
    <row r="15" spans="2:9" ht="13" customHeight="1" x14ac:dyDescent="0.2">
      <c r="B15" s="103" t="s">
        <v>177</v>
      </c>
      <c r="C15" s="102" t="s">
        <v>228</v>
      </c>
      <c r="D15" s="104" t="s">
        <v>229</v>
      </c>
      <c r="E15" s="106" t="s">
        <v>230</v>
      </c>
      <c r="F15" s="106"/>
      <c r="G15" s="104" t="s">
        <v>231</v>
      </c>
      <c r="H15" s="104" t="s">
        <v>232</v>
      </c>
      <c r="I15" s="104" t="s">
        <v>231</v>
      </c>
    </row>
    <row r="16" spans="2:9" ht="13" customHeight="1" x14ac:dyDescent="0.2">
      <c r="B16" s="103" t="s">
        <v>233</v>
      </c>
      <c r="C16" s="107" t="s">
        <v>234</v>
      </c>
      <c r="D16" s="104" t="s">
        <v>235</v>
      </c>
      <c r="E16" s="104" t="s">
        <v>236</v>
      </c>
      <c r="F16" s="104"/>
      <c r="G16" s="104" t="s">
        <v>237</v>
      </c>
      <c r="H16" s="105" t="s">
        <v>3</v>
      </c>
      <c r="I16" s="104" t="s">
        <v>237</v>
      </c>
    </row>
    <row r="17" ht="13" customHeight="1" x14ac:dyDescent="0.2"/>
    <row r="18" ht="13" customHeight="1" x14ac:dyDescent="0.2"/>
    <row r="19" ht="13" customHeight="1" x14ac:dyDescent="0.2"/>
    <row r="20" ht="13" customHeight="1" x14ac:dyDescent="0.2"/>
    <row r="21" ht="13" customHeight="1" x14ac:dyDescent="0.2"/>
    <row r="22" ht="13" customHeight="1" x14ac:dyDescent="0.2"/>
    <row r="23" ht="13" customHeight="1" x14ac:dyDescent="0.2"/>
  </sheetData>
  <autoFilter ref="B4:I4" xr:uid="{ACC0CAE5-2C28-4A0A-B92E-6A737958BF45}"/>
  <phoneticPr fontId="3"/>
  <pageMargins left="0.39370078740157483" right="0.39370078740157483" top="0.59055118110236227" bottom="0.59055118110236227" header="0.31496062992125984" footer="0.31496062992125984"/>
  <pageSetup paperSize="9" scale="51" orientation="landscape" r:id="rId1"/>
  <headerFooter>
    <oddFooter>&amp;P / &amp;N ページ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CE939-6FFE-478E-ACBE-4720D22C157D}">
  <dimension ref="B2:G30"/>
  <sheetViews>
    <sheetView showGridLines="0" view="pageBreakPreview" zoomScale="115" zoomScaleNormal="100" zoomScaleSheetLayoutView="115" workbookViewId="0">
      <pane ySplit="4" topLeftCell="A5" activePane="bottomLeft" state="frozen"/>
      <selection pane="bottomLeft" activeCell="F5" sqref="F5"/>
    </sheetView>
  </sheetViews>
  <sheetFormatPr defaultColWidth="2.6328125" defaultRowHeight="13" x14ac:dyDescent="0.2"/>
  <cols>
    <col min="1" max="1" width="2.6328125" style="5"/>
    <col min="2" max="2" width="13.81640625" style="5" bestFit="1" customWidth="1"/>
    <col min="3" max="3" width="11.54296875" style="5" bestFit="1" customWidth="1"/>
    <col min="4" max="4" width="11.6328125" style="5" bestFit="1" customWidth="1"/>
    <col min="5" max="5" width="28.08984375" style="5" bestFit="1" customWidth="1"/>
    <col min="6" max="6" width="11.6328125" style="5" bestFit="1" customWidth="1"/>
    <col min="7" max="7" width="57.7265625" style="5" bestFit="1" customWidth="1"/>
    <col min="8" max="16384" width="2.6328125" style="5"/>
  </cols>
  <sheetData>
    <row r="2" spans="2:7" ht="13.5" customHeight="1" x14ac:dyDescent="0.2">
      <c r="B2" s="111" t="s">
        <v>238</v>
      </c>
      <c r="C2" s="6"/>
      <c r="D2" s="6"/>
      <c r="E2" s="6"/>
      <c r="F2" s="6"/>
      <c r="G2" s="6"/>
    </row>
    <row r="3" spans="2:7" ht="13.5" customHeight="1" x14ac:dyDescent="0.2">
      <c r="B3" s="9"/>
      <c r="C3" s="6"/>
      <c r="D3" s="6"/>
      <c r="E3" s="6"/>
      <c r="F3" s="6"/>
      <c r="G3" s="6"/>
    </row>
    <row r="4" spans="2:7" ht="13.5" customHeight="1" x14ac:dyDescent="0.2">
      <c r="B4" s="65" t="s">
        <v>113</v>
      </c>
      <c r="C4" s="65" t="s">
        <v>114</v>
      </c>
      <c r="D4" s="65" t="s">
        <v>5</v>
      </c>
      <c r="E4" s="65" t="s">
        <v>7</v>
      </c>
      <c r="F4" s="65" t="s">
        <v>23</v>
      </c>
      <c r="G4" s="65" t="s">
        <v>24</v>
      </c>
    </row>
    <row r="5" spans="2:7" ht="12.75" customHeight="1" x14ac:dyDescent="0.2">
      <c r="B5" s="67" t="s">
        <v>117</v>
      </c>
      <c r="C5" s="67" t="s">
        <v>116</v>
      </c>
      <c r="D5" s="67" t="s">
        <v>146</v>
      </c>
      <c r="E5" s="67" t="s">
        <v>118</v>
      </c>
      <c r="F5" s="66"/>
      <c r="G5" s="67" t="s">
        <v>119</v>
      </c>
    </row>
    <row r="6" spans="2:7" ht="13" customHeight="1" x14ac:dyDescent="0.2">
      <c r="B6" s="67" t="s">
        <v>47</v>
      </c>
      <c r="C6" s="67" t="s">
        <v>116</v>
      </c>
      <c r="D6" s="67" t="s">
        <v>147</v>
      </c>
      <c r="E6" s="67" t="s">
        <v>120</v>
      </c>
      <c r="F6" s="66"/>
      <c r="G6" s="66" t="s">
        <v>121</v>
      </c>
    </row>
    <row r="7" spans="2:7" ht="13" customHeight="1" x14ac:dyDescent="0.2">
      <c r="B7" s="66"/>
      <c r="C7" s="67"/>
      <c r="D7" s="67"/>
      <c r="E7" s="66"/>
      <c r="F7" s="66"/>
      <c r="G7" s="66"/>
    </row>
    <row r="8" spans="2:7" ht="13" customHeight="1" x14ac:dyDescent="0.2">
      <c r="B8" s="66"/>
      <c r="C8" s="67"/>
      <c r="D8" s="67"/>
      <c r="E8" s="66"/>
      <c r="F8" s="66"/>
      <c r="G8" s="66"/>
    </row>
    <row r="9" spans="2:7" ht="13" customHeight="1" x14ac:dyDescent="0.2">
      <c r="B9" s="66"/>
      <c r="C9" s="67"/>
      <c r="D9" s="67"/>
      <c r="E9" s="66"/>
      <c r="F9" s="66"/>
      <c r="G9" s="66"/>
    </row>
    <row r="10" spans="2:7" ht="13" customHeight="1" x14ac:dyDescent="0.2">
      <c r="B10" s="66"/>
      <c r="C10" s="67"/>
      <c r="D10" s="67"/>
      <c r="E10" s="66"/>
      <c r="F10" s="66"/>
      <c r="G10" s="66"/>
    </row>
    <row r="11" spans="2:7" ht="13" customHeight="1" x14ac:dyDescent="0.2">
      <c r="B11" s="66"/>
      <c r="C11" s="67"/>
      <c r="D11" s="67"/>
      <c r="E11" s="66"/>
      <c r="F11" s="66"/>
      <c r="G11" s="66"/>
    </row>
    <row r="12" spans="2:7" ht="13" customHeight="1" x14ac:dyDescent="0.2">
      <c r="B12" s="66"/>
      <c r="C12" s="67"/>
      <c r="D12" s="67"/>
      <c r="E12" s="66"/>
      <c r="F12" s="66"/>
      <c r="G12" s="66"/>
    </row>
    <row r="13" spans="2:7" ht="13" customHeight="1" x14ac:dyDescent="0.2">
      <c r="B13" s="67"/>
      <c r="C13" s="67"/>
      <c r="D13" s="67"/>
      <c r="E13" s="66"/>
      <c r="F13" s="66"/>
      <c r="G13" s="66"/>
    </row>
    <row r="14" spans="2:7" ht="13" customHeight="1" x14ac:dyDescent="0.2">
      <c r="B14" s="67"/>
      <c r="C14" s="67"/>
      <c r="D14" s="67"/>
      <c r="E14" s="66"/>
      <c r="F14" s="66"/>
      <c r="G14" s="66"/>
    </row>
    <row r="15" spans="2:7" ht="13" customHeight="1" x14ac:dyDescent="0.2">
      <c r="B15" s="67"/>
      <c r="C15" s="67"/>
      <c r="D15" s="67"/>
      <c r="E15" s="66"/>
      <c r="F15" s="66"/>
      <c r="G15" s="66"/>
    </row>
    <row r="16" spans="2:7" ht="13" customHeight="1" x14ac:dyDescent="0.2">
      <c r="B16" s="67"/>
      <c r="C16" s="67"/>
      <c r="D16" s="67"/>
      <c r="E16" s="66"/>
      <c r="F16" s="66"/>
      <c r="G16" s="66"/>
    </row>
    <row r="17" spans="2:7" ht="13" customHeight="1" x14ac:dyDescent="0.2">
      <c r="B17" s="67"/>
      <c r="C17" s="67"/>
      <c r="D17" s="67"/>
      <c r="E17" s="66"/>
      <c r="F17" s="66"/>
      <c r="G17" s="66"/>
    </row>
    <row r="18" spans="2:7" ht="13" customHeight="1" x14ac:dyDescent="0.2">
      <c r="B18" s="67"/>
      <c r="C18" s="67"/>
      <c r="D18" s="67"/>
      <c r="E18" s="66"/>
      <c r="F18" s="66"/>
      <c r="G18" s="66"/>
    </row>
    <row r="19" spans="2:7" ht="13" customHeight="1" x14ac:dyDescent="0.2">
      <c r="B19" s="67"/>
      <c r="C19" s="67"/>
      <c r="D19" s="67"/>
      <c r="E19" s="66"/>
      <c r="F19" s="66"/>
      <c r="G19" s="66"/>
    </row>
    <row r="20" spans="2:7" ht="13" customHeight="1" x14ac:dyDescent="0.2">
      <c r="B20" s="67"/>
      <c r="C20" s="67"/>
      <c r="D20" s="67"/>
      <c r="E20" s="66"/>
      <c r="F20" s="66"/>
      <c r="G20" s="66"/>
    </row>
    <row r="21" spans="2:7" ht="13" customHeight="1" x14ac:dyDescent="0.2">
      <c r="B21" s="67"/>
      <c r="C21" s="67"/>
      <c r="D21" s="67"/>
      <c r="E21" s="66"/>
      <c r="F21" s="66"/>
      <c r="G21" s="66"/>
    </row>
    <row r="22" spans="2:7" x14ac:dyDescent="0.2">
      <c r="B22" s="67"/>
      <c r="C22" s="67"/>
      <c r="D22" s="67"/>
      <c r="E22" s="67"/>
      <c r="F22" s="66"/>
      <c r="G22" s="66"/>
    </row>
    <row r="23" spans="2:7" x14ac:dyDescent="0.2">
      <c r="B23" s="67"/>
      <c r="C23" s="67"/>
      <c r="D23" s="67"/>
      <c r="E23" s="67"/>
      <c r="F23" s="66"/>
      <c r="G23" s="66"/>
    </row>
    <row r="24" spans="2:7" x14ac:dyDescent="0.2">
      <c r="B24" s="67"/>
      <c r="C24" s="67"/>
      <c r="D24" s="67"/>
      <c r="E24" s="67"/>
      <c r="F24" s="66"/>
      <c r="G24" s="66"/>
    </row>
    <row r="25" spans="2:7" x14ac:dyDescent="0.2">
      <c r="B25" s="67"/>
      <c r="C25" s="67"/>
      <c r="D25" s="67"/>
      <c r="E25" s="67"/>
      <c r="F25" s="66"/>
      <c r="G25" s="67"/>
    </row>
    <row r="26" spans="2:7" x14ac:dyDescent="0.2">
      <c r="B26" s="67"/>
      <c r="C26" s="67"/>
      <c r="D26" s="67"/>
      <c r="E26" s="67"/>
      <c r="F26" s="66"/>
      <c r="G26" s="66"/>
    </row>
    <row r="27" spans="2:7" x14ac:dyDescent="0.2">
      <c r="B27" s="67"/>
      <c r="C27" s="67"/>
      <c r="D27" s="67"/>
      <c r="E27" s="67"/>
      <c r="F27" s="66"/>
      <c r="G27" s="66"/>
    </row>
    <row r="28" spans="2:7" x14ac:dyDescent="0.2">
      <c r="B28" s="67"/>
      <c r="C28" s="67"/>
      <c r="D28" s="67"/>
      <c r="E28" s="67"/>
      <c r="F28" s="66"/>
      <c r="G28" s="66"/>
    </row>
    <row r="29" spans="2:7" x14ac:dyDescent="0.2">
      <c r="B29" s="67"/>
      <c r="C29" s="67"/>
      <c r="D29" s="67"/>
      <c r="E29" s="67"/>
      <c r="F29" s="66"/>
      <c r="G29" s="66"/>
    </row>
    <row r="30" spans="2:7" x14ac:dyDescent="0.2">
      <c r="B30" s="67"/>
      <c r="C30" s="67"/>
      <c r="D30" s="67"/>
      <c r="E30" s="67"/>
      <c r="F30" s="66"/>
      <c r="G30" s="66"/>
    </row>
  </sheetData>
  <autoFilter ref="B4:G4" xr:uid="{3B1602E9-BE36-4A22-B587-CF701279F8ED}"/>
  <phoneticPr fontId="3"/>
  <pageMargins left="0.39370078740157483" right="0.39370078740157483" top="0.59055118110236227" bottom="0.59055118110236227" header="0.31496062992125984" footer="0.31496062992125984"/>
  <pageSetup paperSize="9" orientation="landscape" r:id="rId1"/>
  <headerFooter>
    <oddFooter>&amp;P / &amp;N ページ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B2:J36"/>
  <sheetViews>
    <sheetView showGridLines="0" tabSelected="1" view="pageBreakPreview" zoomScale="85" zoomScaleNormal="100" zoomScaleSheetLayoutView="85" workbookViewId="0">
      <pane ySplit="4" topLeftCell="A5" activePane="bottomLeft" state="frozen"/>
      <selection pane="bottomLeft"/>
    </sheetView>
  </sheetViews>
  <sheetFormatPr defaultColWidth="2.6328125" defaultRowHeight="13" x14ac:dyDescent="0.2"/>
  <cols>
    <col min="1" max="1" width="2.6328125" style="5"/>
    <col min="2" max="2" width="29.7265625" style="5" bestFit="1" customWidth="1"/>
    <col min="3" max="3" width="12.26953125" style="5" bestFit="1" customWidth="1"/>
    <col min="4" max="4" width="23.90625" style="5" bestFit="1" customWidth="1"/>
    <col min="5" max="5" width="18.453125" style="5" customWidth="1"/>
    <col min="6" max="6" width="18.1796875" style="5" bestFit="1" customWidth="1"/>
    <col min="7" max="7" width="34.453125" style="5" bestFit="1" customWidth="1"/>
    <col min="8" max="8" width="21.54296875" style="5" bestFit="1" customWidth="1"/>
    <col min="9" max="9" width="12.26953125" style="5" bestFit="1" customWidth="1"/>
    <col min="10" max="10" width="29.7265625" style="5" bestFit="1" customWidth="1"/>
    <col min="11" max="16384" width="2.6328125" style="5"/>
  </cols>
  <sheetData>
    <row r="2" spans="2:10" ht="13.5" customHeight="1" x14ac:dyDescent="0.2">
      <c r="B2" s="111" t="s">
        <v>169</v>
      </c>
      <c r="C2" s="6"/>
      <c r="D2" s="6"/>
    </row>
    <row r="3" spans="2:10" ht="13.5" customHeight="1" x14ac:dyDescent="0.2">
      <c r="B3" s="9"/>
      <c r="C3" s="6"/>
      <c r="D3" s="6"/>
    </row>
    <row r="4" spans="2:10" ht="13.5" customHeight="1" x14ac:dyDescent="0.2">
      <c r="B4" s="65" t="s">
        <v>113</v>
      </c>
      <c r="C4" s="65" t="s">
        <v>302</v>
      </c>
      <c r="D4" s="65" t="s">
        <v>296</v>
      </c>
      <c r="E4" s="108" t="s">
        <v>170</v>
      </c>
      <c r="F4" s="108" t="s">
        <v>171</v>
      </c>
      <c r="G4" s="108" t="s">
        <v>172</v>
      </c>
      <c r="H4" s="108" t="s">
        <v>175</v>
      </c>
      <c r="I4" s="101" t="s">
        <v>263</v>
      </c>
      <c r="J4" s="101" t="s">
        <v>300</v>
      </c>
    </row>
    <row r="5" spans="2:10" ht="12.75" customHeight="1" x14ac:dyDescent="0.2">
      <c r="B5" s="67" t="s">
        <v>25</v>
      </c>
      <c r="C5" s="67" t="s">
        <v>125</v>
      </c>
      <c r="D5" s="67" t="s">
        <v>26</v>
      </c>
      <c r="E5" s="103" t="s">
        <v>177</v>
      </c>
      <c r="F5" s="107" t="s">
        <v>178</v>
      </c>
      <c r="G5" s="107" t="s">
        <v>179</v>
      </c>
      <c r="H5" s="107" t="s">
        <v>3</v>
      </c>
      <c r="I5" s="67" t="s">
        <v>146</v>
      </c>
      <c r="J5" s="67" t="s">
        <v>118</v>
      </c>
    </row>
    <row r="6" spans="2:10" ht="12.75" customHeight="1" x14ac:dyDescent="0.2">
      <c r="B6" s="67" t="s">
        <v>25</v>
      </c>
      <c r="C6" s="67" t="s">
        <v>125</v>
      </c>
      <c r="D6" s="67" t="s">
        <v>26</v>
      </c>
      <c r="E6" s="103" t="s">
        <v>177</v>
      </c>
      <c r="F6" s="107" t="s">
        <v>178</v>
      </c>
      <c r="G6" s="107" t="s">
        <v>179</v>
      </c>
      <c r="H6" s="107" t="s">
        <v>3</v>
      </c>
      <c r="I6" s="67" t="s">
        <v>147</v>
      </c>
      <c r="J6" s="67" t="s">
        <v>120</v>
      </c>
    </row>
    <row r="7" spans="2:10" ht="12.75" customHeight="1" x14ac:dyDescent="0.2">
      <c r="B7" s="67" t="s">
        <v>25</v>
      </c>
      <c r="C7" s="67" t="s">
        <v>125</v>
      </c>
      <c r="D7" s="67" t="s">
        <v>26</v>
      </c>
      <c r="E7" s="103" t="s">
        <v>177</v>
      </c>
      <c r="F7" s="102" t="s">
        <v>184</v>
      </c>
      <c r="G7" s="104" t="s">
        <v>185</v>
      </c>
      <c r="H7" s="104" t="s">
        <v>48</v>
      </c>
      <c r="I7" s="105" t="s">
        <v>3</v>
      </c>
      <c r="J7" s="105" t="s">
        <v>3</v>
      </c>
    </row>
    <row r="8" spans="2:10" ht="12.75" customHeight="1" x14ac:dyDescent="0.2">
      <c r="B8" s="67" t="s">
        <v>25</v>
      </c>
      <c r="C8" s="67" t="s">
        <v>125</v>
      </c>
      <c r="D8" s="67" t="s">
        <v>26</v>
      </c>
      <c r="E8" s="103" t="s">
        <v>177</v>
      </c>
      <c r="F8" s="102" t="s">
        <v>189</v>
      </c>
      <c r="G8" s="104" t="s">
        <v>190</v>
      </c>
      <c r="H8" s="104" t="s">
        <v>28</v>
      </c>
      <c r="I8" s="105" t="s">
        <v>3</v>
      </c>
      <c r="J8" s="105" t="s">
        <v>3</v>
      </c>
    </row>
    <row r="9" spans="2:10" ht="13" customHeight="1" x14ac:dyDescent="0.2">
      <c r="B9" s="67" t="s">
        <v>25</v>
      </c>
      <c r="C9" s="67" t="s">
        <v>125</v>
      </c>
      <c r="D9" s="67" t="s">
        <v>26</v>
      </c>
      <c r="E9" s="103" t="s">
        <v>177</v>
      </c>
      <c r="F9" s="102" t="s">
        <v>194</v>
      </c>
      <c r="G9" s="104" t="s">
        <v>195</v>
      </c>
      <c r="H9" s="104" t="s">
        <v>198</v>
      </c>
      <c r="I9" s="105" t="s">
        <v>3</v>
      </c>
      <c r="J9" s="105" t="s">
        <v>3</v>
      </c>
    </row>
    <row r="10" spans="2:10" ht="13" customHeight="1" x14ac:dyDescent="0.2">
      <c r="B10" s="67" t="s">
        <v>25</v>
      </c>
      <c r="C10" s="67" t="s">
        <v>125</v>
      </c>
      <c r="D10" s="67" t="s">
        <v>26</v>
      </c>
      <c r="E10" s="103" t="s">
        <v>177</v>
      </c>
      <c r="F10" s="102" t="s">
        <v>199</v>
      </c>
      <c r="G10" s="104" t="s">
        <v>200</v>
      </c>
      <c r="H10" s="104" t="s">
        <v>203</v>
      </c>
      <c r="I10" s="105" t="s">
        <v>3</v>
      </c>
      <c r="J10" s="105" t="s">
        <v>3</v>
      </c>
    </row>
    <row r="11" spans="2:10" ht="13" customHeight="1" x14ac:dyDescent="0.2">
      <c r="B11" s="67" t="s">
        <v>25</v>
      </c>
      <c r="C11" s="67" t="s">
        <v>125</v>
      </c>
      <c r="D11" s="67" t="s">
        <v>26</v>
      </c>
      <c r="E11" s="103" t="s">
        <v>177</v>
      </c>
      <c r="F11" s="102" t="s">
        <v>204</v>
      </c>
      <c r="G11" s="104" t="s">
        <v>205</v>
      </c>
      <c r="H11" s="104" t="s">
        <v>208</v>
      </c>
      <c r="I11" s="105" t="s">
        <v>3</v>
      </c>
      <c r="J11" s="105" t="s">
        <v>3</v>
      </c>
    </row>
    <row r="12" spans="2:10" ht="13" customHeight="1" x14ac:dyDescent="0.2">
      <c r="B12" s="67" t="s">
        <v>25</v>
      </c>
      <c r="C12" s="67" t="s">
        <v>125</v>
      </c>
      <c r="D12" s="67" t="s">
        <v>26</v>
      </c>
      <c r="E12" s="103" t="s">
        <v>177</v>
      </c>
      <c r="F12" s="102" t="s">
        <v>209</v>
      </c>
      <c r="G12" s="104" t="s">
        <v>210</v>
      </c>
      <c r="H12" s="104" t="s">
        <v>213</v>
      </c>
      <c r="I12" s="105" t="s">
        <v>3</v>
      </c>
      <c r="J12" s="105" t="s">
        <v>3</v>
      </c>
    </row>
    <row r="13" spans="2:10" ht="13" customHeight="1" x14ac:dyDescent="0.2">
      <c r="B13" s="67" t="s">
        <v>25</v>
      </c>
      <c r="C13" s="67" t="s">
        <v>125</v>
      </c>
      <c r="D13" s="67" t="s">
        <v>26</v>
      </c>
      <c r="E13" s="103" t="s">
        <v>177</v>
      </c>
      <c r="F13" s="102" t="s">
        <v>214</v>
      </c>
      <c r="G13" s="104" t="s">
        <v>215</v>
      </c>
      <c r="H13" s="104" t="s">
        <v>218</v>
      </c>
      <c r="I13" s="105" t="s">
        <v>3</v>
      </c>
      <c r="J13" s="105" t="s">
        <v>3</v>
      </c>
    </row>
    <row r="14" spans="2:10" ht="13" customHeight="1" x14ac:dyDescent="0.2">
      <c r="B14" s="67" t="s">
        <v>25</v>
      </c>
      <c r="C14" s="67" t="s">
        <v>125</v>
      </c>
      <c r="D14" s="67" t="s">
        <v>26</v>
      </c>
      <c r="E14" s="103" t="s">
        <v>177</v>
      </c>
      <c r="F14" s="102" t="s">
        <v>219</v>
      </c>
      <c r="G14" s="104" t="s">
        <v>220</v>
      </c>
      <c r="H14" s="104" t="s">
        <v>223</v>
      </c>
      <c r="I14" s="105" t="s">
        <v>3</v>
      </c>
      <c r="J14" s="105" t="s">
        <v>3</v>
      </c>
    </row>
    <row r="15" spans="2:10" ht="13" customHeight="1" x14ac:dyDescent="0.2">
      <c r="B15" s="67" t="s">
        <v>25</v>
      </c>
      <c r="C15" s="67" t="s">
        <v>125</v>
      </c>
      <c r="D15" s="67" t="s">
        <v>26</v>
      </c>
      <c r="E15" s="103" t="s">
        <v>177</v>
      </c>
      <c r="F15" s="102" t="s">
        <v>224</v>
      </c>
      <c r="G15" s="104" t="s">
        <v>65</v>
      </c>
      <c r="H15" s="104" t="s">
        <v>227</v>
      </c>
      <c r="I15" s="105" t="s">
        <v>3</v>
      </c>
      <c r="J15" s="105" t="s">
        <v>3</v>
      </c>
    </row>
    <row r="16" spans="2:10" ht="13" customHeight="1" x14ac:dyDescent="0.2">
      <c r="B16" s="67" t="s">
        <v>25</v>
      </c>
      <c r="C16" s="67" t="s">
        <v>125</v>
      </c>
      <c r="D16" s="67" t="s">
        <v>26</v>
      </c>
      <c r="E16" s="103" t="s">
        <v>177</v>
      </c>
      <c r="F16" s="102" t="s">
        <v>228</v>
      </c>
      <c r="G16" s="104" t="s">
        <v>229</v>
      </c>
      <c r="H16" s="104" t="s">
        <v>232</v>
      </c>
      <c r="I16" s="105" t="s">
        <v>3</v>
      </c>
      <c r="J16" s="105" t="s">
        <v>3</v>
      </c>
    </row>
    <row r="17" spans="2:10" ht="13" customHeight="1" x14ac:dyDescent="0.2">
      <c r="B17" s="67" t="s">
        <v>25</v>
      </c>
      <c r="C17" s="67" t="s">
        <v>125</v>
      </c>
      <c r="D17" s="67" t="s">
        <v>26</v>
      </c>
      <c r="E17" s="103" t="s">
        <v>233</v>
      </c>
      <c r="F17" s="107" t="s">
        <v>234</v>
      </c>
      <c r="G17" s="104" t="s">
        <v>235</v>
      </c>
      <c r="H17" s="105" t="s">
        <v>3</v>
      </c>
      <c r="I17" s="105" t="s">
        <v>3</v>
      </c>
      <c r="J17" s="105" t="s">
        <v>3</v>
      </c>
    </row>
    <row r="18" spans="2:10" ht="13" customHeight="1" x14ac:dyDescent="0.2">
      <c r="B18" s="66" t="s">
        <v>25</v>
      </c>
      <c r="C18" s="67" t="s">
        <v>127</v>
      </c>
      <c r="D18" s="67" t="s">
        <v>28</v>
      </c>
      <c r="E18" s="113"/>
      <c r="F18" s="113"/>
      <c r="G18" s="113"/>
      <c r="H18" s="113"/>
      <c r="I18" s="113"/>
      <c r="J18" s="113"/>
    </row>
    <row r="19" spans="2:10" ht="13" customHeight="1" x14ac:dyDescent="0.2">
      <c r="B19" s="66" t="s">
        <v>25</v>
      </c>
      <c r="C19" s="67" t="s">
        <v>128</v>
      </c>
      <c r="D19" s="67" t="s">
        <v>30</v>
      </c>
      <c r="E19" s="113"/>
      <c r="F19" s="113"/>
      <c r="G19" s="113"/>
      <c r="H19" s="113"/>
      <c r="I19" s="113"/>
      <c r="J19" s="113"/>
    </row>
    <row r="20" spans="2:10" ht="13" customHeight="1" x14ac:dyDescent="0.2">
      <c r="B20" s="66" t="s">
        <v>25</v>
      </c>
      <c r="C20" s="67" t="s">
        <v>129</v>
      </c>
      <c r="D20" s="67" t="s">
        <v>32</v>
      </c>
      <c r="E20" s="113"/>
      <c r="F20" s="113"/>
      <c r="G20" s="113"/>
      <c r="H20" s="113"/>
      <c r="I20" s="113"/>
      <c r="J20" s="113"/>
    </row>
    <row r="21" spans="2:10" ht="13" customHeight="1" x14ac:dyDescent="0.2">
      <c r="B21" s="66" t="s">
        <v>25</v>
      </c>
      <c r="C21" s="67" t="s">
        <v>130</v>
      </c>
      <c r="D21" s="67" t="s">
        <v>34</v>
      </c>
      <c r="E21" s="113"/>
      <c r="F21" s="113"/>
      <c r="G21" s="113"/>
      <c r="H21" s="113"/>
      <c r="I21" s="113"/>
      <c r="J21" s="113"/>
    </row>
    <row r="22" spans="2:10" ht="13" customHeight="1" x14ac:dyDescent="0.2">
      <c r="B22" s="66" t="s">
        <v>25</v>
      </c>
      <c r="C22" s="67" t="s">
        <v>131</v>
      </c>
      <c r="D22" s="67" t="s">
        <v>36</v>
      </c>
      <c r="E22" s="113"/>
      <c r="F22" s="113"/>
      <c r="G22" s="113"/>
      <c r="H22" s="113"/>
      <c r="I22" s="113"/>
      <c r="J22" s="113"/>
    </row>
    <row r="23" spans="2:10" ht="13" customHeight="1" x14ac:dyDescent="0.2">
      <c r="B23" s="66" t="s">
        <v>25</v>
      </c>
      <c r="C23" s="67" t="s">
        <v>132</v>
      </c>
      <c r="D23" s="67" t="s">
        <v>66</v>
      </c>
      <c r="E23" s="113"/>
      <c r="F23" s="113"/>
      <c r="G23" s="113"/>
      <c r="H23" s="113"/>
      <c r="I23" s="113"/>
      <c r="J23" s="113"/>
    </row>
    <row r="24" spans="2:10" ht="13" customHeight="1" x14ac:dyDescent="0.2">
      <c r="B24" s="66" t="s">
        <v>25</v>
      </c>
      <c r="C24" s="67" t="s">
        <v>133</v>
      </c>
      <c r="D24" s="67" t="s">
        <v>38</v>
      </c>
      <c r="E24" s="113"/>
      <c r="F24" s="113"/>
      <c r="G24" s="113"/>
      <c r="H24" s="113"/>
      <c r="I24" s="113"/>
      <c r="J24" s="113"/>
    </row>
    <row r="25" spans="2:10" x14ac:dyDescent="0.2">
      <c r="B25" s="67" t="s">
        <v>25</v>
      </c>
      <c r="C25" s="67" t="s">
        <v>134</v>
      </c>
      <c r="D25" s="67" t="s">
        <v>67</v>
      </c>
      <c r="E25" s="113"/>
      <c r="F25" s="113"/>
      <c r="G25" s="113"/>
      <c r="H25" s="113"/>
      <c r="I25" s="113"/>
      <c r="J25" s="113"/>
    </row>
    <row r="26" spans="2:10" x14ac:dyDescent="0.2">
      <c r="B26" s="67" t="s">
        <v>25</v>
      </c>
      <c r="C26" s="67" t="s">
        <v>135</v>
      </c>
      <c r="D26" s="67" t="s">
        <v>68</v>
      </c>
      <c r="E26" s="113"/>
      <c r="F26" s="113"/>
      <c r="G26" s="113"/>
      <c r="H26" s="113"/>
      <c r="I26" s="113"/>
      <c r="J26" s="113"/>
    </row>
    <row r="27" spans="2:10" x14ac:dyDescent="0.2">
      <c r="B27" s="67" t="s">
        <v>25</v>
      </c>
      <c r="C27" s="67" t="s">
        <v>136</v>
      </c>
      <c r="D27" s="67" t="s">
        <v>40</v>
      </c>
      <c r="E27" s="113"/>
      <c r="F27" s="113"/>
      <c r="G27" s="113"/>
      <c r="H27" s="113"/>
      <c r="I27" s="113"/>
      <c r="J27" s="113"/>
    </row>
    <row r="28" spans="2:10" x14ac:dyDescent="0.2">
      <c r="B28" s="67" t="s">
        <v>25</v>
      </c>
      <c r="C28" s="67" t="s">
        <v>137</v>
      </c>
      <c r="D28" s="67" t="s">
        <v>72</v>
      </c>
      <c r="E28" s="113"/>
      <c r="F28" s="113"/>
      <c r="G28" s="113"/>
      <c r="H28" s="113"/>
      <c r="I28" s="113"/>
      <c r="J28" s="113"/>
    </row>
    <row r="29" spans="2:10" x14ac:dyDescent="0.2">
      <c r="B29" s="67" t="s">
        <v>25</v>
      </c>
      <c r="C29" s="67" t="s">
        <v>138</v>
      </c>
      <c r="D29" s="67" t="s">
        <v>41</v>
      </c>
      <c r="E29" s="113"/>
      <c r="F29" s="113"/>
      <c r="G29" s="113"/>
      <c r="H29" s="113"/>
      <c r="I29" s="113"/>
      <c r="J29" s="113"/>
    </row>
    <row r="30" spans="2:10" x14ac:dyDescent="0.2">
      <c r="B30" s="67" t="s">
        <v>25</v>
      </c>
      <c r="C30" s="67" t="s">
        <v>139</v>
      </c>
      <c r="D30" s="67" t="s">
        <v>42</v>
      </c>
      <c r="E30" s="113"/>
      <c r="F30" s="113"/>
      <c r="G30" s="113"/>
      <c r="H30" s="113"/>
      <c r="I30" s="113"/>
      <c r="J30" s="113"/>
    </row>
    <row r="31" spans="2:10" x14ac:dyDescent="0.2">
      <c r="B31" s="67" t="s">
        <v>25</v>
      </c>
      <c r="C31" s="67" t="s">
        <v>140</v>
      </c>
      <c r="D31" s="67" t="s">
        <v>44</v>
      </c>
      <c r="E31" s="113"/>
      <c r="F31" s="113"/>
      <c r="G31" s="113"/>
      <c r="H31" s="113"/>
      <c r="I31" s="113"/>
      <c r="J31" s="113"/>
    </row>
    <row r="32" spans="2:10" x14ac:dyDescent="0.2">
      <c r="B32" s="67" t="s">
        <v>25</v>
      </c>
      <c r="C32" s="67" t="s">
        <v>141</v>
      </c>
      <c r="D32" s="67" t="s">
        <v>75</v>
      </c>
      <c r="E32" s="113"/>
      <c r="F32" s="113"/>
      <c r="G32" s="113"/>
      <c r="H32" s="113"/>
      <c r="I32" s="113"/>
      <c r="J32" s="113"/>
    </row>
    <row r="33" spans="2:10" x14ac:dyDescent="0.2">
      <c r="B33" s="67" t="s">
        <v>25</v>
      </c>
      <c r="C33" s="67" t="s">
        <v>142</v>
      </c>
      <c r="D33" s="67" t="s">
        <v>46</v>
      </c>
      <c r="E33" s="113"/>
      <c r="F33" s="113"/>
      <c r="G33" s="113"/>
      <c r="H33" s="113"/>
      <c r="I33" s="113"/>
      <c r="J33" s="113"/>
    </row>
    <row r="34" spans="2:10" x14ac:dyDescent="0.2">
      <c r="B34" s="67" t="s">
        <v>47</v>
      </c>
      <c r="C34" s="67" t="s">
        <v>143</v>
      </c>
      <c r="D34" s="67" t="s">
        <v>48</v>
      </c>
      <c r="E34" s="113"/>
      <c r="F34" s="113"/>
      <c r="G34" s="113"/>
      <c r="H34" s="113"/>
      <c r="I34" s="113"/>
      <c r="J34" s="113"/>
    </row>
    <row r="35" spans="2:10" x14ac:dyDescent="0.2">
      <c r="B35" s="67" t="s">
        <v>47</v>
      </c>
      <c r="C35" s="67" t="s">
        <v>144</v>
      </c>
      <c r="D35" s="67" t="s">
        <v>100</v>
      </c>
      <c r="E35" s="113"/>
      <c r="F35" s="113"/>
      <c r="G35" s="113"/>
      <c r="H35" s="113"/>
      <c r="I35" s="113"/>
      <c r="J35" s="113"/>
    </row>
    <row r="36" spans="2:10" x14ac:dyDescent="0.2">
      <c r="B36" s="67" t="s">
        <v>47</v>
      </c>
      <c r="C36" s="67" t="s">
        <v>145</v>
      </c>
      <c r="D36" s="67" t="s">
        <v>101</v>
      </c>
      <c r="E36" s="113"/>
      <c r="F36" s="113"/>
      <c r="G36" s="113"/>
      <c r="H36" s="113"/>
      <c r="I36" s="113"/>
      <c r="J36" s="113"/>
    </row>
  </sheetData>
  <autoFilter ref="B4:J4" xr:uid="{0E2B029D-A6CE-44E1-8066-F99959347DD5}"/>
  <phoneticPr fontId="3"/>
  <pageMargins left="0.39370078740157483" right="0.39370078740157483" top="0.59055118110236227" bottom="0.59055118110236227" header="0.31496062992125984" footer="0.31496062992125984"/>
  <pageSetup paperSize="9" scale="40" orientation="landscape" r:id="rId1"/>
  <headerFooter>
    <oddFooter>&amp;P / &amp;N ページ</oddFooter>
  </headerFooter>
  <colBreaks count="1" manualBreakCount="1">
    <brk id="11" min="1" max="37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06DA9-BEC5-496D-8C76-33A93743C514}">
  <dimension ref="A1:G36"/>
  <sheetViews>
    <sheetView workbookViewId="0"/>
  </sheetViews>
  <sheetFormatPr defaultRowHeight="13" x14ac:dyDescent="0.2"/>
  <cols>
    <col min="1" max="1" width="29.08984375" bestFit="1" customWidth="1"/>
    <col min="2" max="3" width="21.08984375" bestFit="1" customWidth="1"/>
    <col min="4" max="6" width="14.453125" bestFit="1" customWidth="1"/>
    <col min="7" max="7" width="14.26953125" bestFit="1" customWidth="1"/>
    <col min="8" max="8" width="19.36328125" bestFit="1" customWidth="1"/>
    <col min="9" max="9" width="23.90625" bestFit="1" customWidth="1"/>
    <col min="10" max="12" width="14.26953125" bestFit="1" customWidth="1"/>
    <col min="13" max="13" width="17.6328125" bestFit="1" customWidth="1"/>
    <col min="14" max="16" width="14.26953125" bestFit="1" customWidth="1"/>
    <col min="17" max="19" width="20.36328125" bestFit="1" customWidth="1"/>
    <col min="20" max="20" width="14.26953125" bestFit="1" customWidth="1"/>
    <col min="21" max="21" width="15.81640625" bestFit="1" customWidth="1"/>
    <col min="22" max="22" width="5.453125" bestFit="1" customWidth="1"/>
    <col min="23" max="23" width="19.54296875" bestFit="1" customWidth="1"/>
    <col min="24" max="24" width="19.36328125" bestFit="1" customWidth="1"/>
    <col min="25" max="25" width="19.54296875" bestFit="1" customWidth="1"/>
    <col min="26" max="26" width="19.36328125" bestFit="1" customWidth="1"/>
    <col min="27" max="27" width="19.54296875" bestFit="1" customWidth="1"/>
    <col min="28" max="28" width="16" bestFit="1" customWidth="1"/>
    <col min="29" max="29" width="19.54296875" bestFit="1" customWidth="1"/>
    <col min="30" max="30" width="16" bestFit="1" customWidth="1"/>
    <col min="31" max="31" width="19.54296875" bestFit="1" customWidth="1"/>
    <col min="32" max="32" width="16" bestFit="1" customWidth="1"/>
    <col min="33" max="33" width="19.54296875" bestFit="1" customWidth="1"/>
    <col min="34" max="34" width="16" bestFit="1" customWidth="1"/>
    <col min="35" max="35" width="19.54296875" bestFit="1" customWidth="1"/>
    <col min="36" max="36" width="16" bestFit="1" customWidth="1"/>
    <col min="37" max="37" width="19.54296875" bestFit="1" customWidth="1"/>
    <col min="38" max="38" width="16" bestFit="1" customWidth="1"/>
    <col min="39" max="39" width="19.54296875" bestFit="1" customWidth="1"/>
    <col min="40" max="40" width="16" bestFit="1" customWidth="1"/>
    <col min="41" max="41" width="19.54296875" bestFit="1" customWidth="1"/>
    <col min="42" max="42" width="5.453125" bestFit="1" customWidth="1"/>
  </cols>
  <sheetData>
    <row r="1" spans="1:7" x14ac:dyDescent="0.2">
      <c r="A1" s="116" t="s">
        <v>299</v>
      </c>
    </row>
    <row r="3" spans="1:7" x14ac:dyDescent="0.2">
      <c r="A3" s="114" t="s">
        <v>294</v>
      </c>
      <c r="B3" s="114" t="s">
        <v>292</v>
      </c>
      <c r="C3" s="114" t="s">
        <v>295</v>
      </c>
      <c r="D3" s="114" t="s">
        <v>297</v>
      </c>
      <c r="E3" s="114" t="s">
        <v>293</v>
      </c>
      <c r="F3" s="114" t="s">
        <v>298</v>
      </c>
      <c r="G3" s="114" t="s">
        <v>262</v>
      </c>
    </row>
    <row r="4" spans="1:7" x14ac:dyDescent="0.2">
      <c r="A4" t="s">
        <v>47</v>
      </c>
      <c r="B4" t="s">
        <v>143</v>
      </c>
      <c r="C4" t="s">
        <v>266</v>
      </c>
      <c r="D4" t="s">
        <v>279</v>
      </c>
      <c r="E4" t="s">
        <v>279</v>
      </c>
      <c r="F4" t="s">
        <v>279</v>
      </c>
      <c r="G4" t="s">
        <v>279</v>
      </c>
    </row>
    <row r="5" spans="1:7" x14ac:dyDescent="0.2">
      <c r="B5" t="s">
        <v>144</v>
      </c>
      <c r="C5" t="s">
        <v>267</v>
      </c>
      <c r="D5" t="s">
        <v>279</v>
      </c>
      <c r="E5" t="s">
        <v>279</v>
      </c>
      <c r="F5" t="s">
        <v>279</v>
      </c>
      <c r="G5" t="s">
        <v>279</v>
      </c>
    </row>
    <row r="6" spans="1:7" x14ac:dyDescent="0.2">
      <c r="B6" t="s">
        <v>145</v>
      </c>
      <c r="C6" t="s">
        <v>268</v>
      </c>
      <c r="D6" t="s">
        <v>279</v>
      </c>
      <c r="E6" t="s">
        <v>279</v>
      </c>
      <c r="F6" t="s">
        <v>279</v>
      </c>
      <c r="G6" t="s">
        <v>279</v>
      </c>
    </row>
    <row r="7" spans="1:7" x14ac:dyDescent="0.2">
      <c r="A7" t="s">
        <v>25</v>
      </c>
      <c r="B7" t="s">
        <v>125</v>
      </c>
      <c r="C7" t="s">
        <v>26</v>
      </c>
      <c r="D7" t="s">
        <v>241</v>
      </c>
      <c r="E7" t="s">
        <v>280</v>
      </c>
      <c r="F7" t="s">
        <v>183</v>
      </c>
      <c r="G7" t="s">
        <v>147</v>
      </c>
    </row>
    <row r="8" spans="1:7" x14ac:dyDescent="0.2">
      <c r="F8" t="s">
        <v>291</v>
      </c>
      <c r="G8" t="s">
        <v>146</v>
      </c>
    </row>
    <row r="9" spans="1:7" x14ac:dyDescent="0.2">
      <c r="D9" t="s">
        <v>184</v>
      </c>
      <c r="E9" t="s">
        <v>281</v>
      </c>
      <c r="F9" t="s">
        <v>6</v>
      </c>
      <c r="G9" t="s">
        <v>6</v>
      </c>
    </row>
    <row r="10" spans="1:7" x14ac:dyDescent="0.2">
      <c r="D10" t="s">
        <v>189</v>
      </c>
      <c r="E10" t="s">
        <v>282</v>
      </c>
      <c r="F10" t="s">
        <v>6</v>
      </c>
      <c r="G10" t="s">
        <v>6</v>
      </c>
    </row>
    <row r="11" spans="1:7" x14ac:dyDescent="0.2">
      <c r="D11" t="s">
        <v>194</v>
      </c>
      <c r="E11" t="s">
        <v>283</v>
      </c>
      <c r="F11" t="s">
        <v>6</v>
      </c>
      <c r="G11" t="s">
        <v>6</v>
      </c>
    </row>
    <row r="12" spans="1:7" x14ac:dyDescent="0.2">
      <c r="D12" t="s">
        <v>199</v>
      </c>
      <c r="E12" t="s">
        <v>284</v>
      </c>
      <c r="F12" t="s">
        <v>6</v>
      </c>
      <c r="G12" t="s">
        <v>6</v>
      </c>
    </row>
    <row r="13" spans="1:7" x14ac:dyDescent="0.2">
      <c r="D13" t="s">
        <v>204</v>
      </c>
      <c r="E13" t="s">
        <v>285</v>
      </c>
      <c r="F13" t="s">
        <v>6</v>
      </c>
      <c r="G13" t="s">
        <v>6</v>
      </c>
    </row>
    <row r="14" spans="1:7" x14ac:dyDescent="0.2">
      <c r="D14" t="s">
        <v>209</v>
      </c>
      <c r="E14" t="s">
        <v>286</v>
      </c>
      <c r="F14" t="s">
        <v>6</v>
      </c>
      <c r="G14" t="s">
        <v>6</v>
      </c>
    </row>
    <row r="15" spans="1:7" x14ac:dyDescent="0.2">
      <c r="D15" t="s">
        <v>214</v>
      </c>
      <c r="E15" t="s">
        <v>287</v>
      </c>
      <c r="F15" t="s">
        <v>6</v>
      </c>
      <c r="G15" t="s">
        <v>6</v>
      </c>
    </row>
    <row r="16" spans="1:7" x14ac:dyDescent="0.2">
      <c r="D16" t="s">
        <v>219</v>
      </c>
      <c r="E16" t="s">
        <v>288</v>
      </c>
      <c r="F16" t="s">
        <v>6</v>
      </c>
      <c r="G16" t="s">
        <v>6</v>
      </c>
    </row>
    <row r="17" spans="2:7" x14ac:dyDescent="0.2">
      <c r="D17" t="s">
        <v>224</v>
      </c>
      <c r="E17" t="s">
        <v>289</v>
      </c>
      <c r="F17" t="s">
        <v>6</v>
      </c>
      <c r="G17" t="s">
        <v>6</v>
      </c>
    </row>
    <row r="18" spans="2:7" x14ac:dyDescent="0.2">
      <c r="D18" t="s">
        <v>228</v>
      </c>
      <c r="E18" t="s">
        <v>63</v>
      </c>
      <c r="F18" t="s">
        <v>6</v>
      </c>
      <c r="G18" t="s">
        <v>6</v>
      </c>
    </row>
    <row r="19" spans="2:7" x14ac:dyDescent="0.2">
      <c r="D19" t="s">
        <v>234</v>
      </c>
      <c r="E19" t="s">
        <v>290</v>
      </c>
      <c r="F19" t="s">
        <v>6</v>
      </c>
      <c r="G19" t="s">
        <v>6</v>
      </c>
    </row>
    <row r="20" spans="2:7" x14ac:dyDescent="0.2">
      <c r="B20" t="s">
        <v>127</v>
      </c>
      <c r="C20" t="s">
        <v>56</v>
      </c>
      <c r="D20" t="s">
        <v>279</v>
      </c>
      <c r="E20" t="s">
        <v>279</v>
      </c>
      <c r="F20" t="s">
        <v>279</v>
      </c>
      <c r="G20" t="s">
        <v>279</v>
      </c>
    </row>
    <row r="21" spans="2:7" x14ac:dyDescent="0.2">
      <c r="B21" t="s">
        <v>128</v>
      </c>
      <c r="C21" t="s">
        <v>269</v>
      </c>
      <c r="D21" t="s">
        <v>279</v>
      </c>
      <c r="E21" t="s">
        <v>279</v>
      </c>
      <c r="F21" t="s">
        <v>279</v>
      </c>
      <c r="G21" t="s">
        <v>279</v>
      </c>
    </row>
    <row r="22" spans="2:7" x14ac:dyDescent="0.2">
      <c r="B22" t="s">
        <v>129</v>
      </c>
      <c r="C22" t="s">
        <v>270</v>
      </c>
      <c r="D22" t="s">
        <v>279</v>
      </c>
      <c r="E22" t="s">
        <v>279</v>
      </c>
      <c r="F22" t="s">
        <v>279</v>
      </c>
      <c r="G22" t="s">
        <v>279</v>
      </c>
    </row>
    <row r="23" spans="2:7" x14ac:dyDescent="0.2">
      <c r="B23" t="s">
        <v>130</v>
      </c>
      <c r="C23" t="s">
        <v>271</v>
      </c>
      <c r="D23" t="s">
        <v>279</v>
      </c>
      <c r="E23" t="s">
        <v>279</v>
      </c>
      <c r="F23" t="s">
        <v>279</v>
      </c>
      <c r="G23" t="s">
        <v>279</v>
      </c>
    </row>
    <row r="24" spans="2:7" x14ac:dyDescent="0.2">
      <c r="B24" t="s">
        <v>131</v>
      </c>
      <c r="C24" t="s">
        <v>272</v>
      </c>
      <c r="D24" t="s">
        <v>279</v>
      </c>
      <c r="E24" t="s">
        <v>279</v>
      </c>
      <c r="F24" t="s">
        <v>279</v>
      </c>
      <c r="G24" t="s">
        <v>279</v>
      </c>
    </row>
    <row r="25" spans="2:7" x14ac:dyDescent="0.2">
      <c r="B25" t="s">
        <v>132</v>
      </c>
      <c r="C25" t="s">
        <v>273</v>
      </c>
      <c r="D25" t="s">
        <v>279</v>
      </c>
      <c r="E25" t="s">
        <v>279</v>
      </c>
      <c r="F25" t="s">
        <v>279</v>
      </c>
      <c r="G25" t="s">
        <v>279</v>
      </c>
    </row>
    <row r="26" spans="2:7" x14ac:dyDescent="0.2">
      <c r="B26" t="s">
        <v>133</v>
      </c>
      <c r="C26" t="s">
        <v>38</v>
      </c>
      <c r="D26" t="s">
        <v>279</v>
      </c>
      <c r="E26" t="s">
        <v>279</v>
      </c>
      <c r="F26" t="s">
        <v>279</v>
      </c>
      <c r="G26" t="s">
        <v>279</v>
      </c>
    </row>
    <row r="27" spans="2:7" x14ac:dyDescent="0.2">
      <c r="B27" t="s">
        <v>134</v>
      </c>
      <c r="C27" t="s">
        <v>274</v>
      </c>
      <c r="D27" t="s">
        <v>279</v>
      </c>
      <c r="E27" t="s">
        <v>279</v>
      </c>
      <c r="F27" t="s">
        <v>279</v>
      </c>
      <c r="G27" t="s">
        <v>279</v>
      </c>
    </row>
    <row r="28" spans="2:7" x14ac:dyDescent="0.2">
      <c r="B28" t="s">
        <v>135</v>
      </c>
      <c r="C28" t="s">
        <v>275</v>
      </c>
      <c r="D28" t="s">
        <v>279</v>
      </c>
      <c r="E28" t="s">
        <v>279</v>
      </c>
      <c r="F28" t="s">
        <v>279</v>
      </c>
      <c r="G28" t="s">
        <v>279</v>
      </c>
    </row>
    <row r="29" spans="2:7" x14ac:dyDescent="0.2">
      <c r="B29" t="s">
        <v>136</v>
      </c>
      <c r="C29" t="s">
        <v>97</v>
      </c>
      <c r="D29" t="s">
        <v>279</v>
      </c>
      <c r="E29" t="s">
        <v>279</v>
      </c>
      <c r="F29" t="s">
        <v>279</v>
      </c>
      <c r="G29" t="s">
        <v>279</v>
      </c>
    </row>
    <row r="30" spans="2:7" x14ac:dyDescent="0.2">
      <c r="B30" t="s">
        <v>137</v>
      </c>
      <c r="C30" t="s">
        <v>276</v>
      </c>
      <c r="D30" t="s">
        <v>279</v>
      </c>
      <c r="E30" t="s">
        <v>279</v>
      </c>
      <c r="F30" t="s">
        <v>279</v>
      </c>
      <c r="G30" t="s">
        <v>279</v>
      </c>
    </row>
    <row r="31" spans="2:7" x14ac:dyDescent="0.2">
      <c r="B31" t="s">
        <v>138</v>
      </c>
      <c r="C31" t="s">
        <v>84</v>
      </c>
      <c r="D31" t="s">
        <v>279</v>
      </c>
      <c r="E31" t="s">
        <v>279</v>
      </c>
      <c r="F31" t="s">
        <v>279</v>
      </c>
      <c r="G31" t="s">
        <v>279</v>
      </c>
    </row>
    <row r="32" spans="2:7" x14ac:dyDescent="0.2">
      <c r="B32" t="s">
        <v>139</v>
      </c>
      <c r="C32" t="s">
        <v>87</v>
      </c>
      <c r="D32" t="s">
        <v>279</v>
      </c>
      <c r="E32" t="s">
        <v>279</v>
      </c>
      <c r="F32" t="s">
        <v>279</v>
      </c>
      <c r="G32" t="s">
        <v>279</v>
      </c>
    </row>
    <row r="33" spans="1:7" x14ac:dyDescent="0.2">
      <c r="B33" t="s">
        <v>140</v>
      </c>
      <c r="C33" t="s">
        <v>277</v>
      </c>
      <c r="D33" t="s">
        <v>279</v>
      </c>
      <c r="E33" t="s">
        <v>279</v>
      </c>
      <c r="F33" t="s">
        <v>279</v>
      </c>
      <c r="G33" t="s">
        <v>279</v>
      </c>
    </row>
    <row r="34" spans="1:7" x14ac:dyDescent="0.2">
      <c r="B34" t="s">
        <v>141</v>
      </c>
      <c r="C34" t="s">
        <v>278</v>
      </c>
      <c r="D34" t="s">
        <v>279</v>
      </c>
      <c r="E34" t="s">
        <v>279</v>
      </c>
      <c r="F34" t="s">
        <v>279</v>
      </c>
      <c r="G34" t="s">
        <v>279</v>
      </c>
    </row>
    <row r="35" spans="1:7" x14ac:dyDescent="0.2">
      <c r="B35" t="s">
        <v>142</v>
      </c>
      <c r="C35" t="s">
        <v>96</v>
      </c>
      <c r="D35" t="s">
        <v>279</v>
      </c>
      <c r="E35" t="s">
        <v>279</v>
      </c>
      <c r="F35" t="s">
        <v>279</v>
      </c>
      <c r="G35" t="s">
        <v>279</v>
      </c>
    </row>
    <row r="36" spans="1:7" x14ac:dyDescent="0.2">
      <c r="A36" t="s">
        <v>265</v>
      </c>
    </row>
  </sheetData>
  <phoneticPr fontId="3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D2F32-C35D-408C-BDAF-9FDFB163119B}">
  <dimension ref="A1:AQ10"/>
  <sheetViews>
    <sheetView workbookViewId="0"/>
  </sheetViews>
  <sheetFormatPr defaultRowHeight="13" x14ac:dyDescent="0.2"/>
  <cols>
    <col min="1" max="1" width="16.36328125" bestFit="1" customWidth="1"/>
    <col min="2" max="2" width="24.7265625" bestFit="1" customWidth="1"/>
    <col min="3" max="3" width="21.08984375" bestFit="1" customWidth="1"/>
    <col min="4" max="4" width="24.6328125" bestFit="1" customWidth="1"/>
    <col min="5" max="5" width="21.08984375" bestFit="1" customWidth="1"/>
    <col min="6" max="6" width="24.6328125" bestFit="1" customWidth="1"/>
    <col min="7" max="7" width="14.453125" bestFit="1" customWidth="1"/>
    <col min="8" max="8" width="15.90625" bestFit="1" customWidth="1"/>
    <col min="9" max="9" width="14.453125" bestFit="1" customWidth="1"/>
    <col min="10" max="10" width="15.90625" bestFit="1" customWidth="1"/>
    <col min="11" max="11" width="14.453125" bestFit="1" customWidth="1"/>
    <col min="12" max="12" width="15.81640625" bestFit="1" customWidth="1"/>
    <col min="13" max="13" width="14.26953125" bestFit="1" customWidth="1"/>
    <col min="14" max="14" width="12.7265625" bestFit="1" customWidth="1"/>
    <col min="15" max="15" width="19.36328125" bestFit="1" customWidth="1"/>
    <col min="16" max="16" width="23" bestFit="1" customWidth="1"/>
    <col min="17" max="17" width="23.90625" bestFit="1" customWidth="1"/>
    <col min="18" max="18" width="27.453125" bestFit="1" customWidth="1"/>
    <col min="19" max="19" width="14.26953125" bestFit="1" customWidth="1"/>
    <col min="20" max="20" width="17.90625" bestFit="1" customWidth="1"/>
    <col min="21" max="21" width="14.26953125" bestFit="1" customWidth="1"/>
    <col min="22" max="22" width="15.6328125" bestFit="1" customWidth="1"/>
    <col min="23" max="23" width="14.26953125" bestFit="1" customWidth="1"/>
    <col min="24" max="24" width="17.08984375" bestFit="1" customWidth="1"/>
    <col min="25" max="25" width="17.6328125" bestFit="1" customWidth="1"/>
    <col min="26" max="26" width="21.1796875" bestFit="1" customWidth="1"/>
    <col min="27" max="27" width="14.26953125" bestFit="1" customWidth="1"/>
    <col min="28" max="28" width="17.1796875" bestFit="1" customWidth="1"/>
    <col min="29" max="29" width="14.26953125" bestFit="1" customWidth="1"/>
    <col min="30" max="30" width="13.6328125" bestFit="1" customWidth="1"/>
    <col min="31" max="31" width="14.26953125" bestFit="1" customWidth="1"/>
    <col min="32" max="32" width="16.1796875" bestFit="1" customWidth="1"/>
    <col min="33" max="33" width="20.36328125" bestFit="1" customWidth="1"/>
    <col min="34" max="34" width="23.90625" bestFit="1" customWidth="1"/>
    <col min="35" max="35" width="20.36328125" bestFit="1" customWidth="1"/>
    <col min="36" max="36" width="23.90625" bestFit="1" customWidth="1"/>
    <col min="37" max="37" width="20.36328125" bestFit="1" customWidth="1"/>
    <col min="38" max="38" width="23.90625" bestFit="1" customWidth="1"/>
    <col min="39" max="39" width="14.26953125" bestFit="1" customWidth="1"/>
    <col min="40" max="40" width="14.90625" bestFit="1" customWidth="1"/>
    <col min="41" max="41" width="15.81640625" bestFit="1" customWidth="1"/>
    <col min="42" max="42" width="19.453125" bestFit="1" customWidth="1"/>
    <col min="43" max="43" width="5.453125" bestFit="1" customWidth="1"/>
  </cols>
  <sheetData>
    <row r="1" spans="1:43" x14ac:dyDescent="0.2">
      <c r="A1" s="116" t="s">
        <v>323</v>
      </c>
    </row>
    <row r="3" spans="1:43" x14ac:dyDescent="0.2">
      <c r="C3" s="114" t="s">
        <v>301</v>
      </c>
    </row>
    <row r="4" spans="1:43" x14ac:dyDescent="0.2">
      <c r="C4" t="s">
        <v>274</v>
      </c>
      <c r="D4" t="s">
        <v>303</v>
      </c>
      <c r="E4" t="s">
        <v>275</v>
      </c>
      <c r="F4" t="s">
        <v>304</v>
      </c>
      <c r="G4" t="s">
        <v>267</v>
      </c>
      <c r="H4" t="s">
        <v>305</v>
      </c>
      <c r="I4" t="s">
        <v>268</v>
      </c>
      <c r="J4" t="s">
        <v>306</v>
      </c>
      <c r="K4" t="s">
        <v>266</v>
      </c>
      <c r="L4" t="s">
        <v>307</v>
      </c>
      <c r="M4" t="s">
        <v>277</v>
      </c>
      <c r="N4" t="s">
        <v>308</v>
      </c>
      <c r="O4" t="s">
        <v>272</v>
      </c>
      <c r="P4" t="s">
        <v>309</v>
      </c>
      <c r="Q4" t="s">
        <v>273</v>
      </c>
      <c r="R4" t="s">
        <v>310</v>
      </c>
      <c r="S4" t="s">
        <v>278</v>
      </c>
      <c r="T4" t="s">
        <v>311</v>
      </c>
      <c r="U4" t="s">
        <v>84</v>
      </c>
      <c r="V4" t="s">
        <v>312</v>
      </c>
      <c r="W4" t="s">
        <v>87</v>
      </c>
      <c r="X4" t="s">
        <v>313</v>
      </c>
      <c r="Y4" t="s">
        <v>96</v>
      </c>
      <c r="Z4" t="s">
        <v>314</v>
      </c>
      <c r="AA4" t="s">
        <v>38</v>
      </c>
      <c r="AB4" t="s">
        <v>315</v>
      </c>
      <c r="AC4" t="s">
        <v>56</v>
      </c>
      <c r="AD4" t="s">
        <v>316</v>
      </c>
      <c r="AE4" t="s">
        <v>26</v>
      </c>
      <c r="AF4" t="s">
        <v>317</v>
      </c>
      <c r="AG4" t="s">
        <v>270</v>
      </c>
      <c r="AH4" t="s">
        <v>318</v>
      </c>
      <c r="AI4" t="s">
        <v>271</v>
      </c>
      <c r="AJ4" t="s">
        <v>319</v>
      </c>
      <c r="AK4" t="s">
        <v>269</v>
      </c>
      <c r="AL4" t="s">
        <v>320</v>
      </c>
      <c r="AM4" t="s">
        <v>97</v>
      </c>
      <c r="AN4" t="s">
        <v>321</v>
      </c>
      <c r="AO4" t="s">
        <v>276</v>
      </c>
      <c r="AP4" t="s">
        <v>322</v>
      </c>
      <c r="AQ4" t="s">
        <v>265</v>
      </c>
    </row>
    <row r="5" spans="1:43" x14ac:dyDescent="0.2">
      <c r="A5" s="114" t="s">
        <v>264</v>
      </c>
      <c r="B5" s="114" t="s">
        <v>298</v>
      </c>
      <c r="C5" t="s">
        <v>134</v>
      </c>
      <c r="E5" t="s">
        <v>135</v>
      </c>
      <c r="G5" t="s">
        <v>144</v>
      </c>
      <c r="I5" t="s">
        <v>145</v>
      </c>
      <c r="K5" t="s">
        <v>143</v>
      </c>
      <c r="M5" t="s">
        <v>140</v>
      </c>
      <c r="O5" t="s">
        <v>131</v>
      </c>
      <c r="Q5" t="s">
        <v>132</v>
      </c>
      <c r="S5" t="s">
        <v>141</v>
      </c>
      <c r="U5" t="s">
        <v>138</v>
      </c>
      <c r="W5" t="s">
        <v>139</v>
      </c>
      <c r="Y5" t="s">
        <v>142</v>
      </c>
      <c r="AA5" t="s">
        <v>133</v>
      </c>
      <c r="AC5" t="s">
        <v>127</v>
      </c>
      <c r="AE5" t="s">
        <v>125</v>
      </c>
      <c r="AG5" t="s">
        <v>129</v>
      </c>
      <c r="AI5" t="s">
        <v>130</v>
      </c>
      <c r="AK5" t="s">
        <v>128</v>
      </c>
      <c r="AM5" t="s">
        <v>136</v>
      </c>
      <c r="AO5" t="s">
        <v>137</v>
      </c>
    </row>
    <row r="6" spans="1:43" x14ac:dyDescent="0.2">
      <c r="A6" s="115" t="s">
        <v>6</v>
      </c>
      <c r="B6" s="115" t="s">
        <v>6</v>
      </c>
    </row>
    <row r="7" spans="1:43" x14ac:dyDescent="0.2">
      <c r="A7" s="115" t="s">
        <v>147</v>
      </c>
      <c r="B7" s="115" t="s">
        <v>183</v>
      </c>
    </row>
    <row r="8" spans="1:43" x14ac:dyDescent="0.2">
      <c r="A8" s="115" t="s">
        <v>146</v>
      </c>
      <c r="B8" s="115" t="s">
        <v>291</v>
      </c>
    </row>
    <row r="9" spans="1:43" x14ac:dyDescent="0.2">
      <c r="A9" s="115" t="s">
        <v>279</v>
      </c>
      <c r="B9" s="115" t="s">
        <v>279</v>
      </c>
    </row>
    <row r="10" spans="1:43" x14ac:dyDescent="0.2">
      <c r="A10" s="115" t="s">
        <v>265</v>
      </c>
    </row>
  </sheetData>
  <phoneticPr fontId="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0C0"/>
  </sheetPr>
  <dimension ref="A1:BB124"/>
  <sheetViews>
    <sheetView showGridLines="0" view="pageBreakPreview" zoomScaleNormal="100" zoomScaleSheetLayoutView="100" workbookViewId="0">
      <selection activeCell="C9" sqref="C9"/>
    </sheetView>
  </sheetViews>
  <sheetFormatPr defaultColWidth="2.6328125" defaultRowHeight="13" x14ac:dyDescent="0.2"/>
  <cols>
    <col min="1" max="1" width="2.6328125" style="1"/>
    <col min="2" max="2" width="2.6328125" style="1" customWidth="1"/>
    <col min="3" max="19" width="2.6328125" style="1"/>
    <col min="20" max="20" width="2.6328125" style="1" customWidth="1"/>
    <col min="21" max="16384" width="2.6328125" style="1"/>
  </cols>
  <sheetData>
    <row r="1" spans="1:54" s="3" customForma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spans="1:54" s="3" customFormat="1" x14ac:dyDescent="0.2">
      <c r="A2" s="1"/>
      <c r="B2" s="68" t="s">
        <v>0</v>
      </c>
      <c r="C2" s="68"/>
      <c r="D2" s="68"/>
      <c r="E2" s="68"/>
      <c r="F2" s="68"/>
      <c r="G2" s="68"/>
      <c r="H2" s="73" t="str">
        <f>表紙!H5</f>
        <v>BSPS</v>
      </c>
      <c r="I2" s="74"/>
      <c r="J2" s="74"/>
      <c r="K2" s="74"/>
      <c r="L2" s="74"/>
      <c r="M2" s="68" t="s">
        <v>1</v>
      </c>
      <c r="N2" s="68"/>
      <c r="O2" s="68"/>
      <c r="P2" s="68"/>
      <c r="Q2" s="68"/>
      <c r="R2" s="68"/>
      <c r="S2" s="68"/>
      <c r="T2" s="73" t="str">
        <f>表紙!T5</f>
        <v>バトルシミレーションポータルサイト</v>
      </c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  <c r="AF2" s="75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88" t="s">
        <v>12</v>
      </c>
      <c r="AT2" s="89"/>
      <c r="AU2" s="90"/>
      <c r="AV2" s="98">
        <f>表紙!N14</f>
        <v>1.4</v>
      </c>
      <c r="AW2" s="99"/>
      <c r="AX2" s="99"/>
      <c r="AY2" s="99"/>
      <c r="AZ2" s="99"/>
      <c r="BA2" s="100"/>
      <c r="BB2" s="1"/>
    </row>
    <row r="3" spans="1:54" s="3" customFormat="1" ht="13.5" customHeight="1" x14ac:dyDescent="0.2">
      <c r="A3" s="1"/>
      <c r="B3" s="68" t="s">
        <v>2</v>
      </c>
      <c r="C3" s="68"/>
      <c r="D3" s="68"/>
      <c r="E3" s="68"/>
      <c r="F3" s="68"/>
      <c r="G3" s="68"/>
      <c r="H3" s="73" t="str">
        <f>表紙!H6</f>
        <v>-</v>
      </c>
      <c r="I3" s="74"/>
      <c r="J3" s="74"/>
      <c r="K3" s="74"/>
      <c r="L3" s="74"/>
      <c r="M3" s="68" t="s">
        <v>4</v>
      </c>
      <c r="N3" s="68"/>
      <c r="O3" s="68"/>
      <c r="P3" s="68"/>
      <c r="Q3" s="68"/>
      <c r="R3" s="68"/>
      <c r="S3" s="68"/>
      <c r="T3" s="73" t="str">
        <f>表紙!T6</f>
        <v>-</v>
      </c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5"/>
      <c r="AG3" s="1"/>
      <c r="AH3" s="1"/>
      <c r="AI3" s="1"/>
      <c r="AJ3" s="88" t="s">
        <v>8</v>
      </c>
      <c r="AK3" s="89"/>
      <c r="AL3" s="90"/>
      <c r="AM3" s="73" t="str">
        <f>表紙!N10</f>
        <v>須賀</v>
      </c>
      <c r="AN3" s="74"/>
      <c r="AO3" s="74"/>
      <c r="AP3" s="74"/>
      <c r="AQ3" s="74"/>
      <c r="AR3" s="75"/>
      <c r="AS3" s="88" t="s">
        <v>10</v>
      </c>
      <c r="AT3" s="89"/>
      <c r="AU3" s="90"/>
      <c r="AV3" s="85" t="str">
        <f>表紙!N12</f>
        <v>須賀</v>
      </c>
      <c r="AW3" s="86"/>
      <c r="AX3" s="86"/>
      <c r="AY3" s="86"/>
      <c r="AZ3" s="86"/>
      <c r="BA3" s="87"/>
      <c r="BB3" s="1"/>
    </row>
    <row r="4" spans="1:54" s="3" customFormat="1" x14ac:dyDescent="0.2">
      <c r="A4" s="1"/>
      <c r="B4" s="68" t="s">
        <v>5</v>
      </c>
      <c r="C4" s="68"/>
      <c r="D4" s="68"/>
      <c r="E4" s="68"/>
      <c r="F4" s="68"/>
      <c r="G4" s="68"/>
      <c r="H4" s="73" t="str">
        <f>表紙!H7</f>
        <v>-</v>
      </c>
      <c r="I4" s="74"/>
      <c r="J4" s="74"/>
      <c r="K4" s="74"/>
      <c r="L4" s="74"/>
      <c r="M4" s="68" t="s">
        <v>7</v>
      </c>
      <c r="N4" s="68"/>
      <c r="O4" s="68"/>
      <c r="P4" s="68"/>
      <c r="Q4" s="68"/>
      <c r="R4" s="68"/>
      <c r="S4" s="68"/>
      <c r="T4" s="73" t="str">
        <f>表紙!T7</f>
        <v>-</v>
      </c>
      <c r="U4" s="74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5"/>
      <c r="AG4" s="1"/>
      <c r="AH4" s="1"/>
      <c r="AI4" s="1"/>
      <c r="AJ4" s="88" t="s">
        <v>9</v>
      </c>
      <c r="AK4" s="89"/>
      <c r="AL4" s="90"/>
      <c r="AM4" s="85">
        <f>表紙!N11</f>
        <v>44464</v>
      </c>
      <c r="AN4" s="86"/>
      <c r="AO4" s="86"/>
      <c r="AP4" s="86"/>
      <c r="AQ4" s="86"/>
      <c r="AR4" s="87"/>
      <c r="AS4" s="88" t="s">
        <v>10</v>
      </c>
      <c r="AT4" s="89"/>
      <c r="AU4" s="90"/>
      <c r="AV4" s="85">
        <f>表紙!N13</f>
        <v>44520</v>
      </c>
      <c r="AW4" s="86"/>
      <c r="AX4" s="86"/>
      <c r="AY4" s="86"/>
      <c r="AZ4" s="86"/>
      <c r="BA4" s="87"/>
      <c r="BB4" s="1"/>
    </row>
    <row r="5" spans="1:54" s="3" customFormat="1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1"/>
      <c r="AW5" s="1"/>
      <c r="AX5" s="1"/>
      <c r="AY5" s="1"/>
      <c r="AZ5" s="1"/>
      <c r="BA5" s="1"/>
      <c r="BB5" s="1"/>
    </row>
    <row r="6" spans="1:54" s="5" customFormat="1" ht="13.5" customHeight="1" x14ac:dyDescent="0.2">
      <c r="B6" s="9" t="s">
        <v>49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</row>
    <row r="7" spans="1:54" ht="13.5" customHeight="1" x14ac:dyDescent="0.2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</row>
    <row r="8" spans="1:54" ht="13.5" customHeight="1" x14ac:dyDescent="0.2">
      <c r="B8" s="68" t="s">
        <v>50</v>
      </c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/>
      <c r="AH8" s="68"/>
      <c r="AI8" s="68"/>
      <c r="AJ8" s="68"/>
      <c r="AK8" s="68"/>
      <c r="AL8" s="68"/>
      <c r="AM8" s="68"/>
      <c r="AN8" s="68"/>
      <c r="AO8" s="68"/>
      <c r="AP8" s="68"/>
      <c r="AQ8" s="68"/>
      <c r="AR8" s="68"/>
      <c r="AS8" s="68"/>
      <c r="AT8" s="68"/>
      <c r="AU8" s="68"/>
      <c r="AV8" s="68"/>
      <c r="AW8" s="68"/>
      <c r="AX8" s="68"/>
      <c r="AY8" s="68"/>
      <c r="AZ8" s="68"/>
      <c r="BA8" s="68"/>
    </row>
    <row r="9" spans="1:54" s="13" customFormat="1" ht="16.5" x14ac:dyDescent="0.45">
      <c r="B9" s="14" t="s">
        <v>104</v>
      </c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6"/>
    </row>
    <row r="10" spans="1:54" s="13" customFormat="1" ht="16.5" x14ac:dyDescent="0.45">
      <c r="B10" s="17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1"/>
      <c r="R10" s="11"/>
      <c r="S10" s="11"/>
      <c r="T10" s="11"/>
      <c r="U10" s="11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9"/>
    </row>
    <row r="11" spans="1:54" s="20" customFormat="1" ht="15" customHeight="1" x14ac:dyDescent="0.45">
      <c r="B11" s="21"/>
      <c r="C11" s="11" t="s">
        <v>148</v>
      </c>
      <c r="D11" s="11"/>
      <c r="E11" s="11"/>
      <c r="F11" s="11"/>
      <c r="G11" s="11"/>
      <c r="H11" s="11"/>
      <c r="I11" s="11"/>
      <c r="J11" s="11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1"/>
      <c r="AX11" s="11"/>
      <c r="AY11" s="11"/>
      <c r="AZ11" s="11"/>
      <c r="BA11" s="22"/>
    </row>
    <row r="12" spans="1:54" s="20" customFormat="1" ht="13.5" customHeight="1" x14ac:dyDescent="0.45">
      <c r="B12" s="21"/>
      <c r="C12" s="23"/>
      <c r="D12" s="24"/>
      <c r="E12" s="24"/>
      <c r="F12" s="24"/>
      <c r="G12" s="24"/>
      <c r="H12" s="25"/>
      <c r="I12" s="11"/>
      <c r="J12" s="11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1" t="s">
        <v>149</v>
      </c>
      <c r="V12" s="11"/>
      <c r="W12" s="11"/>
      <c r="X12" s="11"/>
      <c r="Y12" s="11"/>
      <c r="Z12" s="11"/>
      <c r="AA12" s="11"/>
      <c r="AB12" s="11"/>
      <c r="AC12" s="11"/>
      <c r="AD12" s="11" t="s">
        <v>150</v>
      </c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 t="s">
        <v>151</v>
      </c>
      <c r="AP12" s="11"/>
      <c r="AQ12" s="11"/>
      <c r="AR12" s="11"/>
      <c r="AS12" s="11"/>
      <c r="AT12" s="11"/>
      <c r="AU12" s="18"/>
      <c r="AV12" s="18"/>
      <c r="AW12" s="11"/>
      <c r="AX12" s="11"/>
      <c r="AY12" s="11"/>
      <c r="AZ12" s="11"/>
      <c r="BA12" s="22"/>
    </row>
    <row r="13" spans="1:54" s="20" customFormat="1" ht="13.5" customHeight="1" x14ac:dyDescent="0.45">
      <c r="B13" s="21"/>
      <c r="C13" s="26" t="s">
        <v>60</v>
      </c>
      <c r="D13" s="12"/>
      <c r="E13" s="12"/>
      <c r="F13" s="12"/>
      <c r="G13" s="12"/>
      <c r="H13" s="27"/>
      <c r="I13" s="11"/>
      <c r="J13" s="11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23"/>
      <c r="V13" s="24"/>
      <c r="W13" s="24"/>
      <c r="X13" s="24"/>
      <c r="Y13" s="24"/>
      <c r="Z13" s="25"/>
      <c r="AA13" s="11"/>
      <c r="AB13" s="11"/>
      <c r="AC13" s="11"/>
      <c r="AD13" s="23"/>
      <c r="AE13" s="24"/>
      <c r="AF13" s="24"/>
      <c r="AG13" s="24"/>
      <c r="AH13" s="24"/>
      <c r="AI13" s="25"/>
      <c r="AJ13" s="11"/>
      <c r="AK13" s="11"/>
      <c r="AL13" s="11"/>
      <c r="AM13" s="11"/>
      <c r="AN13" s="11"/>
      <c r="AO13" s="23"/>
      <c r="AP13" s="24"/>
      <c r="AQ13" s="24"/>
      <c r="AR13" s="24"/>
      <c r="AS13" s="24"/>
      <c r="AT13" s="25"/>
      <c r="AU13" s="11"/>
      <c r="AV13" s="11"/>
      <c r="AW13" s="11"/>
      <c r="AX13" s="11"/>
      <c r="AY13" s="11"/>
      <c r="AZ13" s="11"/>
      <c r="BA13" s="22"/>
    </row>
    <row r="14" spans="1:54" s="20" customFormat="1" ht="13.5" customHeight="1" x14ac:dyDescent="0.45">
      <c r="B14" s="21"/>
      <c r="C14" s="26"/>
      <c r="D14" s="12"/>
      <c r="E14" s="12"/>
      <c r="F14" s="12"/>
      <c r="G14" s="12"/>
      <c r="H14" s="27"/>
      <c r="I14" s="11"/>
      <c r="J14" s="11"/>
      <c r="K14" s="18"/>
      <c r="L14" s="18"/>
      <c r="M14" s="18"/>
      <c r="N14" s="18"/>
      <c r="O14" s="18"/>
      <c r="P14" s="18"/>
      <c r="Q14" s="18"/>
      <c r="R14" s="11"/>
      <c r="S14" s="11"/>
      <c r="T14" s="11"/>
      <c r="U14" s="26"/>
      <c r="V14" s="12"/>
      <c r="W14" s="12"/>
      <c r="X14" s="12"/>
      <c r="Y14" s="12"/>
      <c r="Z14" s="27"/>
      <c r="AA14" s="11"/>
      <c r="AB14" s="11"/>
      <c r="AC14" s="11"/>
      <c r="AD14" s="26"/>
      <c r="AE14" s="12"/>
      <c r="AF14" s="12"/>
      <c r="AG14" s="12"/>
      <c r="AH14" s="12"/>
      <c r="AI14" s="27"/>
      <c r="AJ14" s="11"/>
      <c r="AK14" s="11"/>
      <c r="AL14" s="11"/>
      <c r="AM14" s="11"/>
      <c r="AN14" s="11"/>
      <c r="AO14" s="26"/>
      <c r="AP14" s="12"/>
      <c r="AQ14" s="12"/>
      <c r="AR14" s="12"/>
      <c r="AS14" s="12"/>
      <c r="AT14" s="27"/>
      <c r="AU14" s="11"/>
      <c r="AV14" s="11"/>
      <c r="AW14" s="11"/>
      <c r="AX14" s="11"/>
      <c r="AY14" s="11"/>
      <c r="AZ14" s="11"/>
      <c r="BA14" s="22"/>
    </row>
    <row r="15" spans="1:54" s="20" customFormat="1" ht="16.5" x14ac:dyDescent="0.45">
      <c r="B15" s="21"/>
      <c r="C15" s="26"/>
      <c r="D15" s="12"/>
      <c r="E15" s="12"/>
      <c r="F15" s="12"/>
      <c r="G15" s="12"/>
      <c r="H15" s="27"/>
      <c r="I15" s="11"/>
      <c r="J15" s="11"/>
      <c r="K15" s="18"/>
      <c r="L15" s="11" t="s">
        <v>152</v>
      </c>
      <c r="M15" s="11"/>
      <c r="N15" s="11"/>
      <c r="O15" s="11"/>
      <c r="P15" s="11"/>
      <c r="Q15" s="11"/>
      <c r="R15" s="11"/>
      <c r="S15" s="11"/>
      <c r="T15" s="11"/>
      <c r="U15" s="26" t="s">
        <v>57</v>
      </c>
      <c r="V15" s="12"/>
      <c r="W15" s="12"/>
      <c r="X15" s="12"/>
      <c r="Y15" s="12"/>
      <c r="Z15" s="27"/>
      <c r="AA15" s="11"/>
      <c r="AB15" s="11"/>
      <c r="AC15" s="11"/>
      <c r="AD15" s="26" t="s">
        <v>58</v>
      </c>
      <c r="AE15" s="12"/>
      <c r="AF15" s="12"/>
      <c r="AG15" s="12"/>
      <c r="AH15" s="12"/>
      <c r="AI15" s="27"/>
      <c r="AJ15" s="11"/>
      <c r="AK15" s="11"/>
      <c r="AL15" s="11"/>
      <c r="AM15" s="11"/>
      <c r="AN15" s="11"/>
      <c r="AO15" s="26" t="s">
        <v>54</v>
      </c>
      <c r="AP15" s="12"/>
      <c r="AQ15" s="12"/>
      <c r="AR15" s="12"/>
      <c r="AS15" s="12"/>
      <c r="AT15" s="27"/>
      <c r="AU15" s="11"/>
      <c r="AV15" s="11"/>
      <c r="AW15" s="11"/>
      <c r="AX15" s="11"/>
      <c r="AY15" s="11"/>
      <c r="AZ15" s="11"/>
      <c r="BA15" s="22"/>
    </row>
    <row r="16" spans="1:54" s="20" customFormat="1" ht="16.5" x14ac:dyDescent="0.45">
      <c r="B16" s="21"/>
      <c r="C16" s="26"/>
      <c r="D16" s="12"/>
      <c r="E16" s="12"/>
      <c r="F16" s="12"/>
      <c r="G16" s="12"/>
      <c r="H16" s="27"/>
      <c r="I16" s="11"/>
      <c r="J16" s="11"/>
      <c r="K16" s="18"/>
      <c r="L16" s="23"/>
      <c r="M16" s="24"/>
      <c r="N16" s="24"/>
      <c r="O16" s="24"/>
      <c r="P16" s="24"/>
      <c r="Q16" s="25"/>
      <c r="R16" s="11"/>
      <c r="S16" s="11"/>
      <c r="T16" s="11"/>
      <c r="U16" s="26"/>
      <c r="V16" s="12"/>
      <c r="W16" s="12"/>
      <c r="X16" s="12"/>
      <c r="Y16" s="12"/>
      <c r="Z16" s="27"/>
      <c r="AA16" s="11"/>
      <c r="AB16" s="11"/>
      <c r="AC16" s="11"/>
      <c r="AD16" s="26"/>
      <c r="AE16" s="12"/>
      <c r="AF16" s="12"/>
      <c r="AG16" s="12"/>
      <c r="AH16" s="12"/>
      <c r="AI16" s="27"/>
      <c r="AJ16" s="11"/>
      <c r="AK16" s="11"/>
      <c r="AL16" s="11"/>
      <c r="AM16" s="11"/>
      <c r="AN16" s="11"/>
      <c r="AO16" s="29"/>
      <c r="AP16" s="30"/>
      <c r="AQ16" s="30"/>
      <c r="AR16" s="30"/>
      <c r="AS16" s="30"/>
      <c r="AT16" s="31"/>
      <c r="AU16" s="11"/>
      <c r="AV16" s="11"/>
      <c r="AW16" s="11"/>
      <c r="AX16" s="11"/>
      <c r="AY16" s="11"/>
      <c r="AZ16" s="11"/>
      <c r="BA16" s="22"/>
    </row>
    <row r="17" spans="2:53" s="20" customFormat="1" ht="13.5" customHeight="1" x14ac:dyDescent="0.45">
      <c r="B17" s="21"/>
      <c r="C17" s="26" t="s">
        <v>56</v>
      </c>
      <c r="D17" s="12"/>
      <c r="E17" s="12"/>
      <c r="F17" s="12"/>
      <c r="G17" s="12"/>
      <c r="H17" s="27"/>
      <c r="I17" s="11"/>
      <c r="J17" s="11"/>
      <c r="K17" s="18"/>
      <c r="L17" s="26" t="s">
        <v>55</v>
      </c>
      <c r="M17" s="12"/>
      <c r="N17" s="12"/>
      <c r="O17" s="12"/>
      <c r="P17" s="12"/>
      <c r="Q17" s="27"/>
      <c r="R17" s="11"/>
      <c r="S17" s="11"/>
      <c r="T17" s="11"/>
      <c r="U17" s="26"/>
      <c r="V17" s="12"/>
      <c r="W17" s="12"/>
      <c r="X17" s="12"/>
      <c r="Y17" s="12"/>
      <c r="Z17" s="27"/>
      <c r="AA17" s="11"/>
      <c r="AB17" s="11"/>
      <c r="AC17" s="11"/>
      <c r="AD17" s="26"/>
      <c r="AE17" s="12"/>
      <c r="AF17" s="12"/>
      <c r="AG17" s="12"/>
      <c r="AH17" s="12"/>
      <c r="AI17" s="27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22"/>
    </row>
    <row r="18" spans="2:53" s="20" customFormat="1" ht="13.5" customHeight="1" x14ac:dyDescent="0.45">
      <c r="B18" s="21"/>
      <c r="C18" s="26" t="s">
        <v>65</v>
      </c>
      <c r="D18" s="12"/>
      <c r="E18" s="12"/>
      <c r="F18" s="12"/>
      <c r="G18" s="12"/>
      <c r="H18" s="27"/>
      <c r="I18" s="11"/>
      <c r="J18" s="11"/>
      <c r="K18" s="18"/>
      <c r="L18" s="26"/>
      <c r="M18" s="12"/>
      <c r="N18" s="12"/>
      <c r="O18" s="12"/>
      <c r="P18" s="12"/>
      <c r="Q18" s="27"/>
      <c r="R18" s="11"/>
      <c r="S18" s="11"/>
      <c r="T18" s="11"/>
      <c r="U18" s="26"/>
      <c r="V18" s="12"/>
      <c r="W18" s="12"/>
      <c r="X18" s="12"/>
      <c r="Y18" s="12"/>
      <c r="Z18" s="27"/>
      <c r="AA18" s="11"/>
      <c r="AB18" s="11"/>
      <c r="AC18" s="11"/>
      <c r="AD18" s="26"/>
      <c r="AE18" s="12"/>
      <c r="AF18" s="12"/>
      <c r="AG18" s="12"/>
      <c r="AH18" s="12"/>
      <c r="AI18" s="27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22"/>
    </row>
    <row r="19" spans="2:53" s="20" customFormat="1" ht="13.5" customHeight="1" x14ac:dyDescent="0.45">
      <c r="B19" s="21"/>
      <c r="C19" s="26"/>
      <c r="D19" s="12"/>
      <c r="E19" s="12"/>
      <c r="F19" s="12"/>
      <c r="G19" s="12"/>
      <c r="H19" s="27"/>
      <c r="I19" s="11"/>
      <c r="J19" s="11"/>
      <c r="K19" s="18"/>
      <c r="L19" s="26"/>
      <c r="M19" s="12"/>
      <c r="N19" s="12"/>
      <c r="O19" s="12"/>
      <c r="P19" s="12"/>
      <c r="Q19" s="27"/>
      <c r="R19" s="11"/>
      <c r="S19" s="11"/>
      <c r="T19" s="11"/>
      <c r="U19" s="26" t="s">
        <v>53</v>
      </c>
      <c r="V19" s="12"/>
      <c r="W19" s="12"/>
      <c r="X19" s="12"/>
      <c r="Y19" s="12"/>
      <c r="Z19" s="27"/>
      <c r="AA19" s="11"/>
      <c r="AB19" s="11"/>
      <c r="AC19" s="11"/>
      <c r="AD19" s="26" t="s">
        <v>53</v>
      </c>
      <c r="AE19" s="12"/>
      <c r="AF19" s="12"/>
      <c r="AG19" s="12"/>
      <c r="AH19" s="12"/>
      <c r="AI19" s="27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22"/>
    </row>
    <row r="20" spans="2:53" s="20" customFormat="1" ht="13.5" customHeight="1" x14ac:dyDescent="0.2">
      <c r="B20" s="21"/>
      <c r="C20" s="26"/>
      <c r="D20" s="12"/>
      <c r="E20" s="12"/>
      <c r="F20" s="12"/>
      <c r="G20" s="12"/>
      <c r="H20" s="27"/>
      <c r="I20" s="11"/>
      <c r="J20" s="11"/>
      <c r="K20" s="11"/>
      <c r="L20" s="26"/>
      <c r="M20" s="12"/>
      <c r="N20" s="12"/>
      <c r="O20" s="12"/>
      <c r="P20" s="12"/>
      <c r="Q20" s="27"/>
      <c r="R20" s="11"/>
      <c r="S20" s="11"/>
      <c r="T20" s="11"/>
      <c r="U20" s="29"/>
      <c r="V20" s="30"/>
      <c r="W20" s="30"/>
      <c r="X20" s="30"/>
      <c r="Y20" s="30"/>
      <c r="Z20" s="31"/>
      <c r="AA20" s="11"/>
      <c r="AB20" s="11"/>
      <c r="AC20" s="11"/>
      <c r="AD20" s="29"/>
      <c r="AE20" s="30"/>
      <c r="AF20" s="30"/>
      <c r="AG20" s="30"/>
      <c r="AH20" s="30"/>
      <c r="AI20" s="3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22"/>
    </row>
    <row r="21" spans="2:53" s="20" customFormat="1" ht="13.5" customHeight="1" x14ac:dyDescent="0.2">
      <c r="B21" s="21"/>
      <c r="C21" s="26"/>
      <c r="D21" s="12"/>
      <c r="E21" s="12"/>
      <c r="F21" s="12"/>
      <c r="G21" s="12"/>
      <c r="H21" s="27"/>
      <c r="I21" s="11"/>
      <c r="J21" s="11"/>
      <c r="K21" s="11"/>
      <c r="L21" s="26"/>
      <c r="M21" s="12"/>
      <c r="N21" s="12"/>
      <c r="O21" s="12"/>
      <c r="P21" s="12"/>
      <c r="Q21" s="27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22"/>
    </row>
    <row r="22" spans="2:53" s="20" customFormat="1" ht="16.5" x14ac:dyDescent="0.2">
      <c r="B22" s="21"/>
      <c r="C22" s="26"/>
      <c r="D22" s="12"/>
      <c r="E22" s="12"/>
      <c r="F22" s="12"/>
      <c r="G22" s="12"/>
      <c r="H22" s="27"/>
      <c r="I22" s="11"/>
      <c r="J22" s="11"/>
      <c r="K22" s="11"/>
      <c r="L22" s="26"/>
      <c r="M22" s="12"/>
      <c r="N22" s="12"/>
      <c r="O22" s="12"/>
      <c r="P22" s="12"/>
      <c r="Q22" s="27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22"/>
    </row>
    <row r="23" spans="2:53" s="20" customFormat="1" ht="13.5" customHeight="1" x14ac:dyDescent="0.2">
      <c r="B23" s="21"/>
      <c r="C23" s="26"/>
      <c r="D23" s="12"/>
      <c r="E23" s="12"/>
      <c r="F23" s="12"/>
      <c r="G23" s="12"/>
      <c r="H23" s="27"/>
      <c r="I23" s="11"/>
      <c r="J23" s="11"/>
      <c r="K23" s="11"/>
      <c r="L23" s="26"/>
      <c r="M23" s="12"/>
      <c r="N23" s="12"/>
      <c r="O23" s="12"/>
      <c r="P23" s="12"/>
      <c r="Q23" s="27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22"/>
    </row>
    <row r="24" spans="2:53" s="20" customFormat="1" ht="13.5" customHeight="1" x14ac:dyDescent="0.2">
      <c r="B24" s="21"/>
      <c r="C24" s="26"/>
      <c r="D24" s="12"/>
      <c r="E24" s="12"/>
      <c r="F24" s="12"/>
      <c r="G24" s="12"/>
      <c r="H24" s="27"/>
      <c r="I24" s="11"/>
      <c r="J24" s="11"/>
      <c r="K24" s="11"/>
      <c r="L24" s="26"/>
      <c r="M24" s="12"/>
      <c r="N24" s="12"/>
      <c r="O24" s="12"/>
      <c r="P24" s="12"/>
      <c r="Q24" s="27"/>
      <c r="R24" s="11"/>
      <c r="S24" s="11"/>
      <c r="T24" s="11"/>
      <c r="U24" s="11" t="s">
        <v>153</v>
      </c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 t="s">
        <v>154</v>
      </c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22"/>
    </row>
    <row r="25" spans="2:53" s="20" customFormat="1" ht="13.5" customHeight="1" x14ac:dyDescent="0.2">
      <c r="B25" s="21"/>
      <c r="C25" s="26"/>
      <c r="D25" s="12"/>
      <c r="E25" s="12"/>
      <c r="F25" s="12"/>
      <c r="G25" s="12"/>
      <c r="H25" s="27"/>
      <c r="I25" s="11"/>
      <c r="J25" s="11"/>
      <c r="K25" s="11"/>
      <c r="L25" s="26" t="s">
        <v>59</v>
      </c>
      <c r="M25" s="12"/>
      <c r="N25" s="12"/>
      <c r="O25" s="12"/>
      <c r="P25" s="12"/>
      <c r="Q25" s="27"/>
      <c r="R25" s="11"/>
      <c r="S25" s="11"/>
      <c r="T25" s="11"/>
      <c r="U25" s="23"/>
      <c r="V25" s="24"/>
      <c r="W25" s="24"/>
      <c r="X25" s="24"/>
      <c r="Y25" s="24"/>
      <c r="Z25" s="25"/>
      <c r="AA25" s="11"/>
      <c r="AB25" s="11"/>
      <c r="AC25" s="11"/>
      <c r="AD25" s="11"/>
      <c r="AE25" s="11"/>
      <c r="AF25" s="23"/>
      <c r="AG25" s="24"/>
      <c r="AH25" s="24"/>
      <c r="AI25" s="24"/>
      <c r="AJ25" s="24"/>
      <c r="AK25" s="25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22"/>
    </row>
    <row r="26" spans="2:53" s="20" customFormat="1" ht="13.5" customHeight="1" x14ac:dyDescent="0.2">
      <c r="B26" s="21"/>
      <c r="C26" s="26"/>
      <c r="D26" s="12"/>
      <c r="E26" s="12"/>
      <c r="F26" s="12"/>
      <c r="G26" s="12"/>
      <c r="H26" s="27"/>
      <c r="I26" s="11"/>
      <c r="J26" s="11"/>
      <c r="K26" s="11"/>
      <c r="L26" s="26"/>
      <c r="M26" s="12"/>
      <c r="N26" s="12"/>
      <c r="O26" s="12"/>
      <c r="P26" s="12"/>
      <c r="Q26" s="27"/>
      <c r="R26" s="11"/>
      <c r="S26" s="11"/>
      <c r="T26" s="11"/>
      <c r="U26" s="26" t="s">
        <v>61</v>
      </c>
      <c r="V26" s="28"/>
      <c r="W26" s="28"/>
      <c r="X26" s="28"/>
      <c r="Y26" s="28"/>
      <c r="Z26" s="27"/>
      <c r="AA26" s="11"/>
      <c r="AB26" s="11"/>
      <c r="AC26" s="11"/>
      <c r="AD26" s="11"/>
      <c r="AE26" s="11"/>
      <c r="AF26" s="26"/>
      <c r="AG26" s="28"/>
      <c r="AH26" s="28"/>
      <c r="AI26" s="28"/>
      <c r="AJ26" s="28"/>
      <c r="AK26" s="27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22"/>
    </row>
    <row r="27" spans="2:53" s="20" customFormat="1" ht="13.5" customHeight="1" x14ac:dyDescent="0.2">
      <c r="B27" s="21"/>
      <c r="C27" s="26"/>
      <c r="D27" s="12"/>
      <c r="E27" s="12"/>
      <c r="F27" s="12"/>
      <c r="G27" s="12"/>
      <c r="H27" s="27"/>
      <c r="I27" s="11"/>
      <c r="J27" s="11"/>
      <c r="K27" s="11"/>
      <c r="L27" s="26"/>
      <c r="M27" s="12"/>
      <c r="N27" s="12"/>
      <c r="O27" s="12"/>
      <c r="P27" s="12"/>
      <c r="Q27" s="27"/>
      <c r="R27" s="11"/>
      <c r="S27" s="11"/>
      <c r="T27" s="11"/>
      <c r="U27" s="26"/>
      <c r="V27" s="28"/>
      <c r="W27" s="28"/>
      <c r="X27" s="28"/>
      <c r="Y27" s="28"/>
      <c r="Z27" s="27"/>
      <c r="AA27" s="11"/>
      <c r="AB27" s="11"/>
      <c r="AC27" s="11"/>
      <c r="AD27" s="11"/>
      <c r="AE27" s="11"/>
      <c r="AF27" s="26"/>
      <c r="AG27" s="28"/>
      <c r="AH27" s="28"/>
      <c r="AI27" s="28"/>
      <c r="AJ27" s="28"/>
      <c r="AK27" s="27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22"/>
    </row>
    <row r="28" spans="2:53" s="20" customFormat="1" ht="13.5" customHeight="1" x14ac:dyDescent="0.2">
      <c r="B28" s="21"/>
      <c r="C28" s="26"/>
      <c r="D28" s="12"/>
      <c r="E28" s="12"/>
      <c r="F28" s="12"/>
      <c r="G28" s="12"/>
      <c r="H28" s="27"/>
      <c r="I28" s="11"/>
      <c r="J28" s="11"/>
      <c r="K28" s="11"/>
      <c r="L28" s="26"/>
      <c r="M28" s="12"/>
      <c r="N28" s="12"/>
      <c r="O28" s="12"/>
      <c r="P28" s="12"/>
      <c r="Q28" s="27"/>
      <c r="R28" s="11"/>
      <c r="S28" s="11"/>
      <c r="T28" s="11"/>
      <c r="U28" s="26" t="s">
        <v>53</v>
      </c>
      <c r="V28" s="28"/>
      <c r="W28" s="28"/>
      <c r="X28" s="28"/>
      <c r="Y28" s="28"/>
      <c r="Z28" s="27"/>
      <c r="AA28" s="11"/>
      <c r="AB28" s="11"/>
      <c r="AC28" s="11"/>
      <c r="AD28" s="11"/>
      <c r="AE28" s="11"/>
      <c r="AF28" s="26" t="s">
        <v>54</v>
      </c>
      <c r="AG28" s="28"/>
      <c r="AH28" s="28"/>
      <c r="AI28" s="28"/>
      <c r="AJ28" s="28"/>
      <c r="AK28" s="27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22"/>
    </row>
    <row r="29" spans="2:53" s="20" customFormat="1" ht="13.5" customHeight="1" x14ac:dyDescent="0.2">
      <c r="B29" s="21"/>
      <c r="C29" s="26"/>
      <c r="D29" s="12"/>
      <c r="E29" s="12"/>
      <c r="F29" s="12"/>
      <c r="G29" s="12"/>
      <c r="H29" s="27"/>
      <c r="I29" s="11"/>
      <c r="J29" s="11"/>
      <c r="K29" s="11"/>
      <c r="L29" s="26"/>
      <c r="M29" s="12"/>
      <c r="N29" s="12"/>
      <c r="O29" s="12"/>
      <c r="P29" s="12"/>
      <c r="Q29" s="27"/>
      <c r="R29" s="11"/>
      <c r="S29" s="11"/>
      <c r="T29" s="11"/>
      <c r="U29" s="29"/>
      <c r="V29" s="30"/>
      <c r="W29" s="30"/>
      <c r="X29" s="30"/>
      <c r="Y29" s="30"/>
      <c r="Z29" s="31"/>
      <c r="AA29" s="11"/>
      <c r="AB29" s="11"/>
      <c r="AC29" s="11"/>
      <c r="AD29" s="11"/>
      <c r="AE29" s="11"/>
      <c r="AF29" s="29"/>
      <c r="AG29" s="30"/>
      <c r="AH29" s="30"/>
      <c r="AI29" s="30"/>
      <c r="AJ29" s="30"/>
      <c r="AK29" s="3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22"/>
    </row>
    <row r="30" spans="2:53" s="20" customFormat="1" ht="13.5" customHeight="1" x14ac:dyDescent="0.2">
      <c r="B30" s="21"/>
      <c r="C30" s="26"/>
      <c r="D30" s="12"/>
      <c r="E30" s="12"/>
      <c r="F30" s="12"/>
      <c r="G30" s="12"/>
      <c r="H30" s="27"/>
      <c r="I30" s="11"/>
      <c r="J30" s="11"/>
      <c r="K30" s="11"/>
      <c r="L30" s="26"/>
      <c r="M30" s="12"/>
      <c r="N30" s="12"/>
      <c r="O30" s="12"/>
      <c r="P30" s="12"/>
      <c r="Q30" s="27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22"/>
    </row>
    <row r="31" spans="2:53" s="20" customFormat="1" ht="13.5" customHeight="1" x14ac:dyDescent="0.2">
      <c r="B31" s="21"/>
      <c r="C31" s="26"/>
      <c r="D31" s="12"/>
      <c r="E31" s="12"/>
      <c r="F31" s="12"/>
      <c r="G31" s="12"/>
      <c r="H31" s="27"/>
      <c r="I31" s="11"/>
      <c r="J31" s="11"/>
      <c r="K31" s="11"/>
      <c r="L31" s="26"/>
      <c r="M31" s="12"/>
      <c r="N31" s="12"/>
      <c r="O31" s="12"/>
      <c r="P31" s="12"/>
      <c r="Q31" s="27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22"/>
    </row>
    <row r="32" spans="2:53" s="20" customFormat="1" ht="13.5" customHeight="1" x14ac:dyDescent="0.2">
      <c r="B32" s="21"/>
      <c r="C32" s="26"/>
      <c r="D32" s="12"/>
      <c r="E32" s="12"/>
      <c r="F32" s="12"/>
      <c r="G32" s="12"/>
      <c r="H32" s="27"/>
      <c r="I32" s="11"/>
      <c r="J32" s="11"/>
      <c r="K32" s="11"/>
      <c r="L32" s="26"/>
      <c r="M32" s="12"/>
      <c r="N32" s="12"/>
      <c r="O32" s="12"/>
      <c r="P32" s="12"/>
      <c r="Q32" s="27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22"/>
    </row>
    <row r="33" spans="2:53" s="20" customFormat="1" ht="13.5" customHeight="1" x14ac:dyDescent="0.2">
      <c r="B33" s="21"/>
      <c r="C33" s="26"/>
      <c r="D33" s="12"/>
      <c r="E33" s="12"/>
      <c r="F33" s="12"/>
      <c r="G33" s="12"/>
      <c r="H33" s="27"/>
      <c r="I33" s="11"/>
      <c r="J33" s="11"/>
      <c r="K33" s="11"/>
      <c r="L33" s="26"/>
      <c r="M33" s="12"/>
      <c r="N33" s="12"/>
      <c r="O33" s="12"/>
      <c r="P33" s="12"/>
      <c r="Q33" s="27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22"/>
    </row>
    <row r="34" spans="2:53" s="20" customFormat="1" ht="13.5" customHeight="1" x14ac:dyDescent="0.2">
      <c r="B34" s="32" t="s">
        <v>105</v>
      </c>
      <c r="C34" s="26"/>
      <c r="D34" s="12"/>
      <c r="E34" s="12"/>
      <c r="F34" s="12"/>
      <c r="G34" s="12"/>
      <c r="H34" s="27"/>
      <c r="I34" s="33"/>
      <c r="J34" s="33"/>
      <c r="K34" s="33"/>
      <c r="L34" s="26"/>
      <c r="M34" s="12"/>
      <c r="N34" s="12"/>
      <c r="O34" s="12"/>
      <c r="P34" s="12"/>
      <c r="Q34" s="27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4"/>
    </row>
    <row r="35" spans="2:53" s="20" customFormat="1" ht="13.5" customHeight="1" x14ac:dyDescent="0.2">
      <c r="B35" s="32"/>
      <c r="C35" s="26"/>
      <c r="D35" s="12"/>
      <c r="E35" s="12"/>
      <c r="F35" s="12"/>
      <c r="G35" s="12"/>
      <c r="H35" s="27"/>
      <c r="I35" s="33"/>
      <c r="J35" s="33"/>
      <c r="K35" s="33"/>
      <c r="L35" s="26"/>
      <c r="M35" s="12"/>
      <c r="N35" s="12"/>
      <c r="O35" s="12"/>
      <c r="P35" s="12"/>
      <c r="Q35" s="27"/>
      <c r="R35" s="33"/>
      <c r="S35" s="33"/>
      <c r="T35" s="33"/>
      <c r="U35" s="33" t="s">
        <v>155</v>
      </c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4"/>
    </row>
    <row r="36" spans="2:53" s="20" customFormat="1" ht="13.5" customHeight="1" x14ac:dyDescent="0.2">
      <c r="B36" s="32"/>
      <c r="C36" s="26"/>
      <c r="D36" s="12"/>
      <c r="E36" s="12"/>
      <c r="F36" s="12"/>
      <c r="G36" s="12"/>
      <c r="H36" s="27"/>
      <c r="I36" s="33"/>
      <c r="J36" s="33"/>
      <c r="K36" s="33"/>
      <c r="L36" s="26" t="s">
        <v>64</v>
      </c>
      <c r="M36" s="12"/>
      <c r="N36" s="12"/>
      <c r="O36" s="12"/>
      <c r="P36" s="12"/>
      <c r="Q36" s="27"/>
      <c r="R36" s="33"/>
      <c r="S36" s="33"/>
      <c r="T36" s="33"/>
      <c r="U36" s="35"/>
      <c r="V36" s="36"/>
      <c r="W36" s="36"/>
      <c r="X36" s="36"/>
      <c r="Y36" s="36"/>
      <c r="Z36" s="37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33"/>
      <c r="AP36" s="33"/>
      <c r="AQ36" s="33"/>
      <c r="AR36" s="33"/>
      <c r="AS36" s="33"/>
      <c r="AT36" s="33"/>
      <c r="AU36" s="33"/>
      <c r="AV36" s="33"/>
      <c r="AW36" s="33"/>
      <c r="AX36" s="33"/>
      <c r="AY36" s="33"/>
      <c r="AZ36" s="33"/>
      <c r="BA36" s="34"/>
    </row>
    <row r="37" spans="2:53" s="20" customFormat="1" ht="13.5" customHeight="1" x14ac:dyDescent="0.2">
      <c r="B37" s="32"/>
      <c r="C37" s="26"/>
      <c r="D37" s="12"/>
      <c r="E37" s="12"/>
      <c r="F37" s="12"/>
      <c r="G37" s="12"/>
      <c r="H37" s="27"/>
      <c r="I37" s="33"/>
      <c r="J37" s="33"/>
      <c r="K37" s="33"/>
      <c r="L37" s="29"/>
      <c r="M37" s="30"/>
      <c r="N37" s="30"/>
      <c r="O37" s="30"/>
      <c r="P37" s="30"/>
      <c r="Q37" s="31"/>
      <c r="R37" s="33"/>
      <c r="S37" s="33"/>
      <c r="T37" s="33"/>
      <c r="U37" s="38"/>
      <c r="V37" s="39"/>
      <c r="W37" s="39"/>
      <c r="X37" s="39"/>
      <c r="Y37" s="39"/>
      <c r="Z37" s="40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O37" s="33"/>
      <c r="AP37" s="33"/>
      <c r="AQ37" s="33"/>
      <c r="AR37" s="33"/>
      <c r="AS37" s="33"/>
      <c r="AT37" s="33"/>
      <c r="AU37" s="33"/>
      <c r="AV37" s="33"/>
      <c r="AW37" s="33"/>
      <c r="AX37" s="33"/>
      <c r="AY37" s="33"/>
      <c r="AZ37" s="33"/>
      <c r="BA37" s="34"/>
    </row>
    <row r="38" spans="2:53" s="20" customFormat="1" ht="13.5" customHeight="1" x14ac:dyDescent="0.2">
      <c r="B38" s="32"/>
      <c r="C38" s="26" t="s">
        <v>38</v>
      </c>
      <c r="D38" s="12"/>
      <c r="E38" s="12"/>
      <c r="F38" s="12"/>
      <c r="G38" s="12"/>
      <c r="H38" s="27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8"/>
      <c r="V38" s="39"/>
      <c r="W38" s="39"/>
      <c r="X38" s="39"/>
      <c r="Y38" s="39"/>
      <c r="Z38" s="40"/>
      <c r="AA38" s="33"/>
      <c r="AB38" s="33"/>
      <c r="AC38" s="33"/>
      <c r="AD38" s="33"/>
      <c r="AE38" s="33"/>
      <c r="AF38" s="33" t="s">
        <v>156</v>
      </c>
      <c r="AG38" s="33"/>
      <c r="AH38" s="33"/>
      <c r="AI38" s="33"/>
      <c r="AJ38" s="33"/>
      <c r="AK38" s="33"/>
      <c r="AL38" s="33"/>
      <c r="AM38" s="33"/>
      <c r="AN38" s="33"/>
      <c r="AO38" s="33"/>
      <c r="AP38" s="33"/>
      <c r="AQ38" s="33"/>
      <c r="AR38" s="33" t="s">
        <v>157</v>
      </c>
      <c r="AS38" s="33"/>
      <c r="AT38" s="33"/>
      <c r="AU38" s="33"/>
      <c r="AV38" s="33"/>
      <c r="AW38" s="33"/>
      <c r="AX38" s="33"/>
      <c r="AY38" s="33"/>
      <c r="AZ38" s="33"/>
      <c r="BA38" s="34"/>
    </row>
    <row r="39" spans="2:53" s="20" customFormat="1" ht="13.5" customHeight="1" x14ac:dyDescent="0.2">
      <c r="B39" s="32"/>
      <c r="C39" s="26"/>
      <c r="D39" s="12"/>
      <c r="E39" s="12"/>
      <c r="F39" s="12"/>
      <c r="G39" s="12"/>
      <c r="H39" s="27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8"/>
      <c r="V39" s="39"/>
      <c r="W39" s="39"/>
      <c r="X39" s="39"/>
      <c r="Y39" s="39"/>
      <c r="Z39" s="40"/>
      <c r="AA39" s="33"/>
      <c r="AB39" s="33"/>
      <c r="AC39" s="33"/>
      <c r="AD39" s="33"/>
      <c r="AE39" s="33"/>
      <c r="AF39" s="61"/>
      <c r="AG39" s="36"/>
      <c r="AH39" s="36"/>
      <c r="AI39" s="36"/>
      <c r="AJ39" s="36"/>
      <c r="AK39" s="37"/>
      <c r="AL39" s="62"/>
      <c r="AM39" s="62"/>
      <c r="AN39" s="62"/>
      <c r="AO39" s="62"/>
      <c r="AP39" s="62"/>
      <c r="AQ39" s="61"/>
      <c r="AR39" s="36"/>
      <c r="AS39" s="36"/>
      <c r="AT39" s="36"/>
      <c r="AU39" s="36"/>
      <c r="AV39" s="37"/>
      <c r="AW39" s="33"/>
      <c r="AX39" s="33"/>
      <c r="AY39" s="62"/>
      <c r="AZ39" s="33"/>
      <c r="BA39" s="34"/>
    </row>
    <row r="40" spans="2:53" s="20" customFormat="1" ht="13.5" customHeight="1" x14ac:dyDescent="0.2">
      <c r="B40" s="32"/>
      <c r="C40" s="26" t="s">
        <v>98</v>
      </c>
      <c r="D40" s="12"/>
      <c r="E40" s="12"/>
      <c r="F40" s="12"/>
      <c r="G40" s="12"/>
      <c r="H40" s="27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8"/>
      <c r="V40" s="39"/>
      <c r="W40" s="39"/>
      <c r="X40" s="39"/>
      <c r="Y40" s="39"/>
      <c r="Z40" s="40"/>
      <c r="AA40" s="33"/>
      <c r="AB40" s="33"/>
      <c r="AC40" s="33"/>
      <c r="AD40" s="33"/>
      <c r="AE40" s="33"/>
      <c r="AF40" s="63"/>
      <c r="AG40" s="64"/>
      <c r="AH40" s="64"/>
      <c r="AI40" s="64"/>
      <c r="AJ40" s="64"/>
      <c r="AK40" s="40"/>
      <c r="AL40" s="62"/>
      <c r="AM40" s="62"/>
      <c r="AN40" s="62"/>
      <c r="AO40" s="62"/>
      <c r="AP40" s="62"/>
      <c r="AQ40" s="63"/>
      <c r="AR40" s="64"/>
      <c r="AS40" s="64"/>
      <c r="AT40" s="64"/>
      <c r="AU40" s="64"/>
      <c r="AV40" s="40"/>
      <c r="AW40" s="33"/>
      <c r="AX40" s="33"/>
      <c r="AY40" s="62"/>
      <c r="AZ40" s="33"/>
      <c r="BA40" s="34"/>
    </row>
    <row r="41" spans="2:53" s="20" customFormat="1" ht="13.5" customHeight="1" x14ac:dyDescent="0.2">
      <c r="B41" s="32"/>
      <c r="C41" s="26"/>
      <c r="D41" s="12"/>
      <c r="E41" s="12"/>
      <c r="F41" s="12"/>
      <c r="G41" s="12"/>
      <c r="H41" s="27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8"/>
      <c r="V41" s="39"/>
      <c r="W41" s="39"/>
      <c r="X41" s="39"/>
      <c r="Y41" s="39"/>
      <c r="Z41" s="40"/>
      <c r="AA41" s="33"/>
      <c r="AB41" s="33"/>
      <c r="AC41" s="33"/>
      <c r="AD41" s="33"/>
      <c r="AE41" s="33"/>
      <c r="AF41" s="63"/>
      <c r="AG41" s="64"/>
      <c r="AH41" s="64"/>
      <c r="AI41" s="64"/>
      <c r="AJ41" s="64"/>
      <c r="AK41" s="40"/>
      <c r="AL41" s="62"/>
      <c r="AM41" s="62"/>
      <c r="AN41" s="62"/>
      <c r="AO41" s="62"/>
      <c r="AP41" s="62"/>
      <c r="AQ41" s="63"/>
      <c r="AR41" s="64"/>
      <c r="AS41" s="64"/>
      <c r="AT41" s="64"/>
      <c r="AU41" s="64"/>
      <c r="AV41" s="40"/>
      <c r="AW41" s="33"/>
      <c r="AX41" s="33"/>
      <c r="AY41" s="62"/>
      <c r="AZ41" s="33"/>
      <c r="BA41" s="34"/>
    </row>
    <row r="42" spans="2:53" s="20" customFormat="1" ht="13.5" customHeight="1" x14ac:dyDescent="0.2">
      <c r="B42" s="32"/>
      <c r="C42" s="26"/>
      <c r="D42" s="12"/>
      <c r="E42" s="12"/>
      <c r="F42" s="12"/>
      <c r="G42" s="12"/>
      <c r="H42" s="27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8" t="s">
        <v>77</v>
      </c>
      <c r="V42" s="39"/>
      <c r="W42" s="39"/>
      <c r="X42" s="39"/>
      <c r="Y42" s="39"/>
      <c r="Z42" s="40"/>
      <c r="AA42" s="33"/>
      <c r="AB42" s="33"/>
      <c r="AC42" s="33"/>
      <c r="AD42" s="33"/>
      <c r="AE42" s="33"/>
      <c r="AF42" s="38" t="s">
        <v>78</v>
      </c>
      <c r="AG42" s="64"/>
      <c r="AH42" s="64"/>
      <c r="AI42" s="64"/>
      <c r="AJ42" s="64"/>
      <c r="AK42" s="40"/>
      <c r="AL42" s="62"/>
      <c r="AM42" s="62"/>
      <c r="AN42" s="62"/>
      <c r="AO42" s="62"/>
      <c r="AP42" s="62"/>
      <c r="AQ42" s="63"/>
      <c r="AR42" s="64"/>
      <c r="AS42" s="64"/>
      <c r="AT42" s="64"/>
      <c r="AU42" s="64"/>
      <c r="AV42" s="40"/>
      <c r="AW42" s="33"/>
      <c r="AX42" s="33"/>
      <c r="AY42" s="62"/>
      <c r="AZ42" s="33"/>
      <c r="BA42" s="34"/>
    </row>
    <row r="43" spans="2:53" s="20" customFormat="1" ht="13.5" customHeight="1" x14ac:dyDescent="0.2">
      <c r="B43" s="32"/>
      <c r="C43" s="26"/>
      <c r="D43" s="12"/>
      <c r="E43" s="12"/>
      <c r="F43" s="12"/>
      <c r="G43" s="12"/>
      <c r="H43" s="27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8"/>
      <c r="V43" s="39"/>
      <c r="W43" s="39"/>
      <c r="X43" s="39"/>
      <c r="Y43" s="39"/>
      <c r="Z43" s="40"/>
      <c r="AA43" s="33"/>
      <c r="AB43" s="33"/>
      <c r="AC43" s="33"/>
      <c r="AD43" s="33"/>
      <c r="AE43" s="33"/>
      <c r="AF43" s="38"/>
      <c r="AG43" s="39"/>
      <c r="AH43" s="39"/>
      <c r="AI43" s="39"/>
      <c r="AJ43" s="39"/>
      <c r="AK43" s="40"/>
      <c r="AL43" s="33"/>
      <c r="AM43" s="33"/>
      <c r="AN43" s="33"/>
      <c r="AO43" s="33"/>
      <c r="AP43" s="33"/>
      <c r="AQ43" s="38"/>
      <c r="AR43" s="39"/>
      <c r="AS43" s="39"/>
      <c r="AT43" s="39"/>
      <c r="AU43" s="39"/>
      <c r="AV43" s="40"/>
      <c r="AW43" s="33"/>
      <c r="AX43" s="33"/>
      <c r="AY43" s="33"/>
      <c r="AZ43" s="33"/>
      <c r="BA43" s="34"/>
    </row>
    <row r="44" spans="2:53" s="20" customFormat="1" ht="13.5" customHeight="1" x14ac:dyDescent="0.2">
      <c r="B44" s="32"/>
      <c r="C44" s="26"/>
      <c r="D44" s="12"/>
      <c r="E44" s="12"/>
      <c r="F44" s="12"/>
      <c r="G44" s="12"/>
      <c r="H44" s="27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8"/>
      <c r="V44" s="39"/>
      <c r="W44" s="39"/>
      <c r="X44" s="39"/>
      <c r="Y44" s="39"/>
      <c r="Z44" s="40"/>
      <c r="AA44" s="33"/>
      <c r="AB44" s="33"/>
      <c r="AC44" s="33"/>
      <c r="AD44" s="33"/>
      <c r="AE44" s="33"/>
      <c r="AF44" s="38" t="s">
        <v>71</v>
      </c>
      <c r="AG44" s="39"/>
      <c r="AH44" s="39"/>
      <c r="AI44" s="39"/>
      <c r="AJ44" s="39"/>
      <c r="AK44" s="40"/>
      <c r="AL44" s="33"/>
      <c r="AM44" s="33"/>
      <c r="AN44" s="33"/>
      <c r="AO44" s="33"/>
      <c r="AP44" s="33"/>
      <c r="AQ44" s="38" t="s">
        <v>70</v>
      </c>
      <c r="AR44" s="39"/>
      <c r="AS44" s="39"/>
      <c r="AT44" s="39"/>
      <c r="AU44" s="39"/>
      <c r="AV44" s="40"/>
      <c r="AW44" s="33"/>
      <c r="AX44" s="33"/>
      <c r="AY44" s="33"/>
      <c r="AZ44" s="33"/>
      <c r="BA44" s="34"/>
    </row>
    <row r="45" spans="2:53" s="20" customFormat="1" ht="13.5" customHeight="1" x14ac:dyDescent="0.2">
      <c r="B45" s="32"/>
      <c r="C45" s="26"/>
      <c r="D45" s="12"/>
      <c r="E45" s="12"/>
      <c r="F45" s="12"/>
      <c r="G45" s="12"/>
      <c r="H45" s="27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8"/>
      <c r="V45" s="39"/>
      <c r="W45" s="39"/>
      <c r="X45" s="39"/>
      <c r="Y45" s="39"/>
      <c r="Z45" s="40"/>
      <c r="AA45" s="33"/>
      <c r="AB45" s="33"/>
      <c r="AC45" s="33"/>
      <c r="AD45" s="33"/>
      <c r="AE45" s="33"/>
      <c r="AF45" s="41"/>
      <c r="AG45" s="42"/>
      <c r="AH45" s="42"/>
      <c r="AI45" s="42"/>
      <c r="AJ45" s="42"/>
      <c r="AK45" s="43"/>
      <c r="AL45" s="33"/>
      <c r="AM45" s="33"/>
      <c r="AN45" s="33"/>
      <c r="AO45" s="33"/>
      <c r="AP45" s="33"/>
      <c r="AQ45" s="41"/>
      <c r="AR45" s="42"/>
      <c r="AS45" s="42"/>
      <c r="AT45" s="42"/>
      <c r="AU45" s="42"/>
      <c r="AV45" s="43"/>
      <c r="AW45" s="33"/>
      <c r="AX45" s="33"/>
      <c r="AY45" s="33"/>
      <c r="AZ45" s="33"/>
      <c r="BA45" s="34"/>
    </row>
    <row r="46" spans="2:53" s="20" customFormat="1" ht="13.5" customHeight="1" x14ac:dyDescent="0.2">
      <c r="B46" s="32"/>
      <c r="C46" s="26"/>
      <c r="D46" s="12"/>
      <c r="E46" s="12"/>
      <c r="F46" s="12"/>
      <c r="G46" s="12"/>
      <c r="H46" s="27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8"/>
      <c r="V46" s="39"/>
      <c r="W46" s="39"/>
      <c r="X46" s="39"/>
      <c r="Y46" s="39"/>
      <c r="Z46" s="40"/>
      <c r="AA46" s="33"/>
      <c r="AB46" s="33"/>
      <c r="AC46" s="33"/>
      <c r="AD46" s="33"/>
      <c r="AE46" s="33"/>
      <c r="AF46" s="33"/>
      <c r="AG46" s="33"/>
      <c r="AH46" s="33"/>
      <c r="AI46" s="33"/>
      <c r="AJ46" s="33"/>
      <c r="AK46" s="33"/>
      <c r="AL46" s="33"/>
      <c r="AM46" s="33"/>
      <c r="AN46" s="33"/>
      <c r="AO46" s="33"/>
      <c r="AP46" s="33"/>
      <c r="AQ46" s="33"/>
      <c r="AR46" s="33"/>
      <c r="AS46" s="33"/>
      <c r="AT46" s="33"/>
      <c r="AU46" s="33"/>
      <c r="AV46" s="33"/>
      <c r="AW46" s="33"/>
      <c r="AX46" s="33"/>
      <c r="AY46" s="33"/>
      <c r="AZ46" s="33"/>
      <c r="BA46" s="34"/>
    </row>
    <row r="47" spans="2:53" s="20" customFormat="1" ht="16.5" x14ac:dyDescent="0.2">
      <c r="B47" s="32"/>
      <c r="C47" s="26"/>
      <c r="D47" s="12"/>
      <c r="E47" s="12"/>
      <c r="F47" s="12"/>
      <c r="G47" s="12"/>
      <c r="H47" s="27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8"/>
      <c r="V47" s="39"/>
      <c r="W47" s="39"/>
      <c r="X47" s="39"/>
      <c r="Y47" s="39"/>
      <c r="Z47" s="40"/>
      <c r="AA47" s="33"/>
      <c r="AB47" s="33"/>
      <c r="AC47" s="33"/>
      <c r="AD47" s="33"/>
      <c r="AE47" s="33"/>
      <c r="AF47" s="33" t="s">
        <v>158</v>
      </c>
      <c r="AG47" s="33"/>
      <c r="AH47" s="33"/>
      <c r="AI47" s="33"/>
      <c r="AJ47" s="33"/>
      <c r="AK47" s="33"/>
      <c r="AL47" s="33"/>
      <c r="AM47" s="33"/>
      <c r="AN47" s="33"/>
      <c r="AO47" s="33"/>
      <c r="AP47" s="33"/>
      <c r="AQ47" s="33" t="s">
        <v>159</v>
      </c>
      <c r="AR47" s="33"/>
      <c r="AS47" s="33"/>
      <c r="AT47" s="33"/>
      <c r="AU47" s="33"/>
      <c r="AV47" s="33"/>
      <c r="AW47" s="33"/>
      <c r="AX47" s="33"/>
      <c r="AY47" s="33"/>
      <c r="AZ47" s="33"/>
      <c r="BA47" s="34"/>
    </row>
    <row r="48" spans="2:53" s="20" customFormat="1" ht="13.5" customHeight="1" x14ac:dyDescent="0.2">
      <c r="B48" s="32"/>
      <c r="C48" s="26" t="s">
        <v>97</v>
      </c>
      <c r="D48" s="12"/>
      <c r="E48" s="12"/>
      <c r="F48" s="12"/>
      <c r="G48" s="12"/>
      <c r="H48" s="27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8"/>
      <c r="V48" s="39"/>
      <c r="W48" s="39"/>
      <c r="X48" s="39"/>
      <c r="Y48" s="39"/>
      <c r="Z48" s="40"/>
      <c r="AA48" s="33"/>
      <c r="AB48" s="33"/>
      <c r="AC48" s="33"/>
      <c r="AD48" s="33"/>
      <c r="AE48" s="33"/>
      <c r="AF48" s="35"/>
      <c r="AG48" s="36"/>
      <c r="AH48" s="36"/>
      <c r="AI48" s="36"/>
      <c r="AJ48" s="36"/>
      <c r="AK48" s="37"/>
      <c r="AL48" s="33"/>
      <c r="AM48" s="33"/>
      <c r="AN48" s="33"/>
      <c r="AO48" s="33"/>
      <c r="AP48" s="33"/>
      <c r="AQ48" s="35"/>
      <c r="AR48" s="36"/>
      <c r="AS48" s="36"/>
      <c r="AT48" s="36"/>
      <c r="AU48" s="36"/>
      <c r="AV48" s="37"/>
      <c r="AW48" s="33"/>
      <c r="AX48" s="33"/>
      <c r="AY48" s="33"/>
      <c r="AZ48" s="33"/>
      <c r="BA48" s="34"/>
    </row>
    <row r="49" spans="2:53" s="20" customFormat="1" ht="13.5" customHeight="1" x14ac:dyDescent="0.2">
      <c r="B49" s="32"/>
      <c r="C49" s="26"/>
      <c r="D49" s="12"/>
      <c r="E49" s="12"/>
      <c r="F49" s="12"/>
      <c r="G49" s="12"/>
      <c r="H49" s="27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8"/>
      <c r="V49" s="39"/>
      <c r="W49" s="39"/>
      <c r="X49" s="39"/>
      <c r="Y49" s="39"/>
      <c r="Z49" s="40"/>
      <c r="AA49" s="33"/>
      <c r="AB49" s="33"/>
      <c r="AC49" s="33"/>
      <c r="AD49" s="33"/>
      <c r="AE49" s="33"/>
      <c r="AF49" s="38"/>
      <c r="AG49" s="64"/>
      <c r="AH49" s="64"/>
      <c r="AI49" s="64"/>
      <c r="AJ49" s="64"/>
      <c r="AK49" s="40"/>
      <c r="AL49" s="33"/>
      <c r="AM49" s="33"/>
      <c r="AN49" s="33"/>
      <c r="AO49" s="33"/>
      <c r="AP49" s="33"/>
      <c r="AQ49" s="38"/>
      <c r="AR49" s="64"/>
      <c r="AS49" s="64"/>
      <c r="AT49" s="64"/>
      <c r="AU49" s="64"/>
      <c r="AV49" s="40"/>
      <c r="AW49" s="33"/>
      <c r="AX49" s="33"/>
      <c r="AY49" s="33"/>
      <c r="AZ49" s="33"/>
      <c r="BA49" s="34"/>
    </row>
    <row r="50" spans="2:53" s="20" customFormat="1" ht="13.5" customHeight="1" x14ac:dyDescent="0.2">
      <c r="B50" s="32"/>
      <c r="C50" s="26"/>
      <c r="D50" s="12"/>
      <c r="E50" s="12"/>
      <c r="F50" s="12"/>
      <c r="G50" s="12"/>
      <c r="H50" s="27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8" t="s">
        <v>79</v>
      </c>
      <c r="V50" s="39"/>
      <c r="W50" s="39"/>
      <c r="X50" s="39"/>
      <c r="Y50" s="39"/>
      <c r="Z50" s="40"/>
      <c r="AA50" s="33"/>
      <c r="AB50" s="33"/>
      <c r="AC50" s="33"/>
      <c r="AD50" s="33"/>
      <c r="AE50" s="33"/>
      <c r="AF50" s="38" t="s">
        <v>80</v>
      </c>
      <c r="AG50" s="39"/>
      <c r="AH50" s="39"/>
      <c r="AI50" s="39"/>
      <c r="AJ50" s="39"/>
      <c r="AK50" s="40"/>
      <c r="AL50" s="33"/>
      <c r="AM50" s="33"/>
      <c r="AN50" s="33"/>
      <c r="AO50" s="33"/>
      <c r="AP50" s="33"/>
      <c r="AQ50" s="38"/>
      <c r="AR50" s="39"/>
      <c r="AS50" s="39"/>
      <c r="AT50" s="39"/>
      <c r="AU50" s="39"/>
      <c r="AV50" s="40"/>
      <c r="AW50" s="33"/>
      <c r="AX50" s="33"/>
      <c r="AY50" s="33"/>
      <c r="AZ50" s="33"/>
      <c r="BA50" s="34"/>
    </row>
    <row r="51" spans="2:53" s="20" customFormat="1" ht="13.5" customHeight="1" x14ac:dyDescent="0.2">
      <c r="B51" s="32"/>
      <c r="C51" s="26"/>
      <c r="D51" s="12"/>
      <c r="E51" s="12"/>
      <c r="F51" s="12"/>
      <c r="G51" s="12"/>
      <c r="H51" s="27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8"/>
      <c r="V51" s="39"/>
      <c r="W51" s="39"/>
      <c r="X51" s="39"/>
      <c r="Y51" s="39"/>
      <c r="Z51" s="40"/>
      <c r="AA51" s="33"/>
      <c r="AB51" s="33"/>
      <c r="AC51" s="33"/>
      <c r="AD51" s="33"/>
      <c r="AE51" s="33"/>
      <c r="AF51" s="38"/>
      <c r="AG51" s="39"/>
      <c r="AH51" s="39"/>
      <c r="AI51" s="39"/>
      <c r="AJ51" s="39"/>
      <c r="AK51" s="40"/>
      <c r="AL51" s="33"/>
      <c r="AM51" s="33"/>
      <c r="AN51" s="33"/>
      <c r="AO51" s="33"/>
      <c r="AP51" s="33"/>
      <c r="AQ51" s="38"/>
      <c r="AR51" s="39"/>
      <c r="AS51" s="39"/>
      <c r="AT51" s="39"/>
      <c r="AU51" s="39"/>
      <c r="AV51" s="40"/>
      <c r="AW51" s="33"/>
      <c r="AX51" s="33"/>
      <c r="AY51" s="33"/>
      <c r="AZ51" s="33"/>
      <c r="BA51" s="34"/>
    </row>
    <row r="52" spans="2:53" s="20" customFormat="1" ht="13.5" customHeight="1" x14ac:dyDescent="0.2">
      <c r="B52" s="32"/>
      <c r="C52" s="26"/>
      <c r="D52" s="12"/>
      <c r="E52" s="12"/>
      <c r="F52" s="12"/>
      <c r="G52" s="12"/>
      <c r="H52" s="27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8"/>
      <c r="V52" s="39"/>
      <c r="W52" s="39"/>
      <c r="X52" s="39"/>
      <c r="Y52" s="39"/>
      <c r="Z52" s="40"/>
      <c r="AA52" s="33"/>
      <c r="AB52" s="33"/>
      <c r="AC52" s="33"/>
      <c r="AD52" s="33"/>
      <c r="AE52" s="33"/>
      <c r="AF52" s="38"/>
      <c r="AG52" s="39"/>
      <c r="AH52" s="39"/>
      <c r="AI52" s="39"/>
      <c r="AJ52" s="39"/>
      <c r="AK52" s="40"/>
      <c r="AL52" s="33"/>
      <c r="AM52" s="33"/>
      <c r="AN52" s="33"/>
      <c r="AO52" s="33"/>
      <c r="AP52" s="33"/>
      <c r="AQ52" s="38"/>
      <c r="AR52" s="39"/>
      <c r="AS52" s="39"/>
      <c r="AT52" s="39"/>
      <c r="AU52" s="39"/>
      <c r="AV52" s="40"/>
      <c r="AW52" s="33"/>
      <c r="AX52" s="33"/>
      <c r="AY52" s="33"/>
      <c r="AZ52" s="33"/>
      <c r="BA52" s="34"/>
    </row>
    <row r="53" spans="2:53" s="20" customFormat="1" ht="13.5" customHeight="1" x14ac:dyDescent="0.2">
      <c r="B53" s="32"/>
      <c r="C53" s="26"/>
      <c r="D53" s="12"/>
      <c r="E53" s="12"/>
      <c r="F53" s="12"/>
      <c r="G53" s="12"/>
      <c r="H53" s="27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8"/>
      <c r="V53" s="39"/>
      <c r="W53" s="39"/>
      <c r="X53" s="39"/>
      <c r="Y53" s="39"/>
      <c r="Z53" s="40"/>
      <c r="AA53" s="33"/>
      <c r="AB53" s="33"/>
      <c r="AC53" s="33"/>
      <c r="AD53" s="33"/>
      <c r="AE53" s="33"/>
      <c r="AF53" s="38" t="s">
        <v>82</v>
      </c>
      <c r="AG53" s="39"/>
      <c r="AH53" s="39"/>
      <c r="AI53" s="39"/>
      <c r="AJ53" s="39"/>
      <c r="AK53" s="40"/>
      <c r="AL53" s="33"/>
      <c r="AM53" s="33"/>
      <c r="AN53" s="33"/>
      <c r="AO53" s="33"/>
      <c r="AP53" s="33"/>
      <c r="AQ53" s="38" t="s">
        <v>81</v>
      </c>
      <c r="AR53" s="39"/>
      <c r="AS53" s="39"/>
      <c r="AT53" s="39"/>
      <c r="AU53" s="39"/>
      <c r="AV53" s="40"/>
      <c r="AW53" s="33"/>
      <c r="AX53" s="33"/>
      <c r="AY53" s="33"/>
      <c r="AZ53" s="33"/>
      <c r="BA53" s="34"/>
    </row>
    <row r="54" spans="2:53" s="20" customFormat="1" ht="16.5" x14ac:dyDescent="0.2">
      <c r="B54" s="32"/>
      <c r="C54" s="26"/>
      <c r="D54" s="12"/>
      <c r="E54" s="12"/>
      <c r="F54" s="12"/>
      <c r="G54" s="12"/>
      <c r="H54" s="27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8"/>
      <c r="V54" s="39"/>
      <c r="W54" s="39"/>
      <c r="X54" s="39"/>
      <c r="Y54" s="39"/>
      <c r="Z54" s="40"/>
      <c r="AA54" s="33"/>
      <c r="AB54" s="33"/>
      <c r="AC54" s="33"/>
      <c r="AD54" s="33"/>
      <c r="AE54" s="33"/>
      <c r="AF54" s="41"/>
      <c r="AG54" s="42"/>
      <c r="AH54" s="42"/>
      <c r="AI54" s="42"/>
      <c r="AJ54" s="42"/>
      <c r="AK54" s="43"/>
      <c r="AL54" s="33"/>
      <c r="AM54" s="33"/>
      <c r="AN54" s="33"/>
      <c r="AO54" s="33"/>
      <c r="AP54" s="33"/>
      <c r="AQ54" s="41"/>
      <c r="AR54" s="42"/>
      <c r="AS54" s="42"/>
      <c r="AT54" s="42"/>
      <c r="AU54" s="42"/>
      <c r="AV54" s="43"/>
      <c r="AW54" s="33"/>
      <c r="AX54" s="33"/>
      <c r="AY54" s="33"/>
      <c r="AZ54" s="33"/>
      <c r="BA54" s="34"/>
    </row>
    <row r="55" spans="2:53" s="20" customFormat="1" ht="16.5" x14ac:dyDescent="0.2">
      <c r="B55" s="32"/>
      <c r="C55" s="26"/>
      <c r="D55" s="12"/>
      <c r="E55" s="12"/>
      <c r="F55" s="12"/>
      <c r="G55" s="12"/>
      <c r="H55" s="27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8"/>
      <c r="V55" s="39"/>
      <c r="W55" s="39"/>
      <c r="X55" s="39"/>
      <c r="Y55" s="39"/>
      <c r="Z55" s="40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  <c r="AP55" s="33"/>
      <c r="AQ55" s="33"/>
      <c r="AR55" s="33"/>
      <c r="AS55" s="33"/>
      <c r="AT55" s="33"/>
      <c r="AU55" s="33"/>
      <c r="AV55" s="33"/>
      <c r="AW55" s="33"/>
      <c r="AX55" s="33"/>
      <c r="AY55" s="33"/>
      <c r="AZ55" s="33"/>
      <c r="BA55" s="34"/>
    </row>
    <row r="56" spans="2:53" s="20" customFormat="1" ht="13.5" customHeight="1" x14ac:dyDescent="0.2">
      <c r="B56" s="32"/>
      <c r="C56" s="26"/>
      <c r="D56" s="12"/>
      <c r="E56" s="12"/>
      <c r="F56" s="12"/>
      <c r="G56" s="12"/>
      <c r="H56" s="27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8"/>
      <c r="V56" s="39"/>
      <c r="W56" s="39"/>
      <c r="X56" s="39"/>
      <c r="Y56" s="39"/>
      <c r="Z56" s="40"/>
      <c r="AA56" s="33"/>
      <c r="AB56" s="33"/>
      <c r="AC56" s="33"/>
      <c r="AD56" s="33"/>
      <c r="AE56" s="33"/>
      <c r="AF56" s="33" t="s">
        <v>160</v>
      </c>
      <c r="AG56" s="33"/>
      <c r="AH56" s="33"/>
      <c r="AI56" s="33"/>
      <c r="AJ56" s="33"/>
      <c r="AK56" s="33"/>
      <c r="AL56" s="33"/>
      <c r="AM56" s="33"/>
      <c r="AN56" s="33"/>
      <c r="AO56" s="33"/>
      <c r="AP56" s="33"/>
      <c r="AQ56" s="33"/>
      <c r="AR56" s="33"/>
      <c r="AS56" s="33"/>
      <c r="AT56" s="33"/>
      <c r="AU56" s="33"/>
      <c r="AV56" s="33"/>
      <c r="AW56" s="33"/>
      <c r="AX56" s="33"/>
      <c r="AY56" s="33"/>
      <c r="AZ56" s="33"/>
      <c r="BA56" s="34"/>
    </row>
    <row r="57" spans="2:53" s="20" customFormat="1" ht="13.5" customHeight="1" x14ac:dyDescent="0.2">
      <c r="B57" s="32"/>
      <c r="C57" s="26" t="s">
        <v>84</v>
      </c>
      <c r="D57" s="12"/>
      <c r="E57" s="12"/>
      <c r="F57" s="12"/>
      <c r="G57" s="12"/>
      <c r="H57" s="27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8"/>
      <c r="V57" s="39"/>
      <c r="W57" s="39"/>
      <c r="X57" s="39"/>
      <c r="Y57" s="39"/>
      <c r="Z57" s="40"/>
      <c r="AA57" s="33"/>
      <c r="AB57" s="33"/>
      <c r="AC57" s="33"/>
      <c r="AD57" s="33"/>
      <c r="AE57" s="33"/>
      <c r="AF57" s="35"/>
      <c r="AG57" s="36"/>
      <c r="AH57" s="36"/>
      <c r="AI57" s="36"/>
      <c r="AJ57" s="36"/>
      <c r="AK57" s="37"/>
      <c r="AL57" s="33"/>
      <c r="AM57" s="33"/>
      <c r="AN57" s="33"/>
      <c r="AO57" s="33"/>
      <c r="AP57" s="33"/>
      <c r="AQ57" s="33"/>
      <c r="AR57" s="33"/>
      <c r="AS57" s="33"/>
      <c r="AT57" s="33"/>
      <c r="AU57" s="33"/>
      <c r="AV57" s="33"/>
      <c r="AW57" s="33"/>
      <c r="AX57" s="33"/>
      <c r="AY57" s="33"/>
      <c r="AZ57" s="33"/>
      <c r="BA57" s="34"/>
    </row>
    <row r="58" spans="2:53" s="20" customFormat="1" ht="13.5" customHeight="1" x14ac:dyDescent="0.2">
      <c r="B58" s="32"/>
      <c r="C58" s="26"/>
      <c r="D58" s="12"/>
      <c r="E58" s="12"/>
      <c r="F58" s="12"/>
      <c r="G58" s="12"/>
      <c r="H58" s="27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8"/>
      <c r="V58" s="39"/>
      <c r="W58" s="39"/>
      <c r="X58" s="39"/>
      <c r="Y58" s="39"/>
      <c r="Z58" s="40"/>
      <c r="AA58" s="33"/>
      <c r="AB58" s="33"/>
      <c r="AC58" s="33"/>
      <c r="AD58" s="33"/>
      <c r="AE58" s="33"/>
      <c r="AF58" s="38"/>
      <c r="AG58" s="64"/>
      <c r="AH58" s="64"/>
      <c r="AI58" s="64"/>
      <c r="AJ58" s="64"/>
      <c r="AK58" s="40"/>
      <c r="AL58" s="33"/>
      <c r="AM58" s="33"/>
      <c r="AN58" s="33"/>
      <c r="AO58" s="33"/>
      <c r="AP58" s="33"/>
      <c r="AQ58" s="33"/>
      <c r="AR58" s="33"/>
      <c r="AS58" s="33"/>
      <c r="AT58" s="33"/>
      <c r="AU58" s="33"/>
      <c r="AV58" s="33"/>
      <c r="AW58" s="33"/>
      <c r="AX58" s="33"/>
      <c r="AY58" s="33"/>
      <c r="AZ58" s="33"/>
      <c r="BA58" s="34"/>
    </row>
    <row r="59" spans="2:53" s="20" customFormat="1" ht="13.5" customHeight="1" x14ac:dyDescent="0.2">
      <c r="B59" s="32"/>
      <c r="C59" s="26"/>
      <c r="D59" s="12"/>
      <c r="E59" s="12"/>
      <c r="F59" s="12"/>
      <c r="G59" s="12"/>
      <c r="H59" s="27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8" t="s">
        <v>83</v>
      </c>
      <c r="V59" s="39"/>
      <c r="W59" s="39"/>
      <c r="X59" s="39"/>
      <c r="Y59" s="39"/>
      <c r="Z59" s="40"/>
      <c r="AA59" s="33"/>
      <c r="AB59" s="33"/>
      <c r="AC59" s="33"/>
      <c r="AD59" s="33"/>
      <c r="AE59" s="33"/>
      <c r="AF59" s="38" t="s">
        <v>85</v>
      </c>
      <c r="AG59" s="39"/>
      <c r="AH59" s="39"/>
      <c r="AI59" s="39"/>
      <c r="AJ59" s="39"/>
      <c r="AK59" s="40"/>
      <c r="AL59" s="33"/>
      <c r="AM59" s="33"/>
      <c r="AN59" s="33"/>
      <c r="AO59" s="33"/>
      <c r="AP59" s="33"/>
      <c r="AQ59" s="33" t="s">
        <v>86</v>
      </c>
      <c r="AR59" s="33"/>
      <c r="AS59" s="33"/>
      <c r="AT59" s="33"/>
      <c r="AU59" s="33"/>
      <c r="AV59" s="33"/>
      <c r="AW59" s="33"/>
      <c r="AX59" s="33"/>
      <c r="AY59" s="33"/>
      <c r="AZ59" s="33"/>
      <c r="BA59" s="34"/>
    </row>
    <row r="60" spans="2:53" s="20" customFormat="1" ht="13.5" customHeight="1" x14ac:dyDescent="0.2">
      <c r="B60" s="32"/>
      <c r="C60" s="26"/>
      <c r="D60" s="12"/>
      <c r="E60" s="12"/>
      <c r="F60" s="12"/>
      <c r="G60" s="12"/>
      <c r="H60" s="27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8"/>
      <c r="V60" s="39"/>
      <c r="W60" s="39"/>
      <c r="X60" s="39"/>
      <c r="Y60" s="39"/>
      <c r="Z60" s="40"/>
      <c r="AA60" s="33"/>
      <c r="AB60" s="33"/>
      <c r="AC60" s="33"/>
      <c r="AD60" s="33"/>
      <c r="AE60" s="33"/>
      <c r="AF60" s="38"/>
      <c r="AG60" s="39"/>
      <c r="AH60" s="39"/>
      <c r="AI60" s="39"/>
      <c r="AJ60" s="39"/>
      <c r="AK60" s="40"/>
      <c r="AL60" s="33"/>
      <c r="AM60" s="33"/>
      <c r="AN60" s="33"/>
      <c r="AO60" s="33"/>
      <c r="AP60" s="33"/>
      <c r="AQ60" s="33"/>
      <c r="AR60" s="33"/>
      <c r="AS60" s="33"/>
      <c r="AT60" s="33"/>
      <c r="AU60" s="33"/>
      <c r="AV60" s="33"/>
      <c r="AW60" s="33"/>
      <c r="AX60" s="33"/>
      <c r="AY60" s="33"/>
      <c r="AZ60" s="33"/>
      <c r="BA60" s="34"/>
    </row>
    <row r="61" spans="2:53" s="20" customFormat="1" ht="13.5" customHeight="1" x14ac:dyDescent="0.2">
      <c r="B61" s="32"/>
      <c r="C61" s="26"/>
      <c r="D61" s="12"/>
      <c r="E61" s="12"/>
      <c r="F61" s="12"/>
      <c r="G61" s="12"/>
      <c r="H61" s="27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8"/>
      <c r="V61" s="39"/>
      <c r="W61" s="39"/>
      <c r="X61" s="39"/>
      <c r="Y61" s="39"/>
      <c r="Z61" s="40"/>
      <c r="AA61" s="33"/>
      <c r="AB61" s="33"/>
      <c r="AC61" s="33"/>
      <c r="AD61" s="33"/>
      <c r="AE61" s="33"/>
      <c r="AF61" s="38" t="s">
        <v>71</v>
      </c>
      <c r="AG61" s="39"/>
      <c r="AH61" s="39"/>
      <c r="AI61" s="39"/>
      <c r="AJ61" s="39"/>
      <c r="AK61" s="40"/>
      <c r="AL61" s="33"/>
      <c r="AM61" s="33"/>
      <c r="AN61" s="33"/>
      <c r="AO61" s="33"/>
      <c r="AP61" s="33"/>
      <c r="AQ61" s="33"/>
      <c r="AR61" s="33"/>
      <c r="AS61" s="33"/>
      <c r="AT61" s="33"/>
      <c r="AU61" s="33"/>
      <c r="AV61" s="33"/>
      <c r="AW61" s="33"/>
      <c r="AX61" s="33"/>
      <c r="AY61" s="33"/>
      <c r="AZ61" s="33"/>
      <c r="BA61" s="34"/>
    </row>
    <row r="62" spans="2:53" s="20" customFormat="1" ht="16.5" x14ac:dyDescent="0.2">
      <c r="B62" s="32"/>
      <c r="C62" s="26"/>
      <c r="D62" s="12"/>
      <c r="E62" s="12"/>
      <c r="F62" s="12"/>
      <c r="G62" s="12"/>
      <c r="H62" s="27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8"/>
      <c r="V62" s="39"/>
      <c r="W62" s="39"/>
      <c r="X62" s="39"/>
      <c r="Y62" s="39"/>
      <c r="Z62" s="40"/>
      <c r="AA62" s="33"/>
      <c r="AB62" s="33"/>
      <c r="AC62" s="33"/>
      <c r="AD62" s="33"/>
      <c r="AE62" s="33"/>
      <c r="AF62" s="41"/>
      <c r="AG62" s="42"/>
      <c r="AH62" s="42"/>
      <c r="AI62" s="42"/>
      <c r="AJ62" s="42"/>
      <c r="AK62" s="43"/>
      <c r="AL62" s="33"/>
      <c r="AM62" s="33"/>
      <c r="AN62" s="33"/>
      <c r="AO62" s="33"/>
      <c r="AP62" s="33"/>
      <c r="AQ62" s="33"/>
      <c r="AR62" s="33"/>
      <c r="AS62" s="33"/>
      <c r="AT62" s="33"/>
      <c r="AU62" s="33"/>
      <c r="AV62" s="33"/>
      <c r="AW62" s="33"/>
      <c r="AX62" s="33"/>
      <c r="AY62" s="33"/>
      <c r="AZ62" s="33"/>
      <c r="BA62" s="34"/>
    </row>
    <row r="63" spans="2:53" s="20" customFormat="1" ht="13.5" customHeight="1" x14ac:dyDescent="0.2">
      <c r="B63" s="32"/>
      <c r="C63" s="26"/>
      <c r="D63" s="12"/>
      <c r="E63" s="12"/>
      <c r="F63" s="12"/>
      <c r="G63" s="12"/>
      <c r="H63" s="27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8"/>
      <c r="V63" s="39"/>
      <c r="W63" s="39"/>
      <c r="X63" s="39"/>
      <c r="Y63" s="39"/>
      <c r="Z63" s="40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/>
      <c r="AN63" s="33"/>
      <c r="AO63" s="33"/>
      <c r="AP63" s="33"/>
      <c r="AQ63" s="33"/>
      <c r="AR63" s="33"/>
      <c r="AS63" s="33"/>
      <c r="AT63" s="33"/>
      <c r="AU63" s="33"/>
      <c r="AV63" s="33"/>
      <c r="AW63" s="33"/>
      <c r="AX63" s="33"/>
      <c r="AY63" s="33"/>
      <c r="AZ63" s="33"/>
      <c r="BA63" s="34"/>
    </row>
    <row r="64" spans="2:53" s="20" customFormat="1" ht="13.5" customHeight="1" x14ac:dyDescent="0.2">
      <c r="B64" s="32"/>
      <c r="C64" s="26"/>
      <c r="D64" s="12"/>
      <c r="E64" s="12"/>
      <c r="F64" s="12"/>
      <c r="G64" s="12"/>
      <c r="H64" s="27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8"/>
      <c r="V64" s="39"/>
      <c r="W64" s="39"/>
      <c r="X64" s="39"/>
      <c r="Y64" s="39"/>
      <c r="Z64" s="40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  <c r="AN64" s="33"/>
      <c r="AO64" s="33"/>
      <c r="AP64" s="33"/>
      <c r="AQ64" s="33"/>
      <c r="AR64" s="33"/>
      <c r="AS64" s="33"/>
      <c r="AT64" s="33"/>
      <c r="AU64" s="33"/>
      <c r="AV64" s="33"/>
      <c r="AW64" s="33"/>
      <c r="AX64" s="33"/>
      <c r="AY64" s="33"/>
      <c r="AZ64" s="33"/>
      <c r="BA64" s="34"/>
    </row>
    <row r="65" spans="2:53" s="20" customFormat="1" ht="13.5" customHeight="1" x14ac:dyDescent="0.2">
      <c r="B65" s="32"/>
      <c r="C65" s="26"/>
      <c r="D65" s="12"/>
      <c r="E65" s="12"/>
      <c r="F65" s="12"/>
      <c r="G65" s="12"/>
      <c r="H65" s="27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8"/>
      <c r="V65" s="39"/>
      <c r="W65" s="39"/>
      <c r="X65" s="39"/>
      <c r="Y65" s="39"/>
      <c r="Z65" s="40"/>
      <c r="AA65" s="33"/>
      <c r="AB65" s="33"/>
      <c r="AC65" s="33"/>
      <c r="AD65" s="33"/>
      <c r="AE65" s="33"/>
      <c r="AF65" s="33" t="s">
        <v>161</v>
      </c>
      <c r="AG65" s="33"/>
      <c r="AH65" s="33"/>
      <c r="AI65" s="33"/>
      <c r="AJ65" s="33"/>
      <c r="AK65" s="33"/>
      <c r="AL65" s="33"/>
      <c r="AM65" s="33"/>
      <c r="AN65" s="33"/>
      <c r="AO65" s="33"/>
      <c r="AP65" s="33"/>
      <c r="AQ65" s="33" t="s">
        <v>162</v>
      </c>
      <c r="AR65" s="33"/>
      <c r="AS65" s="33"/>
      <c r="AT65" s="33"/>
      <c r="AU65" s="33"/>
      <c r="AV65" s="33"/>
      <c r="AW65" s="33"/>
      <c r="AX65" s="33"/>
      <c r="AY65" s="33"/>
      <c r="AZ65" s="33"/>
      <c r="BA65" s="34"/>
    </row>
    <row r="66" spans="2:53" s="20" customFormat="1" ht="13.5" customHeight="1" x14ac:dyDescent="0.2">
      <c r="B66" s="32"/>
      <c r="C66" s="26" t="s">
        <v>87</v>
      </c>
      <c r="D66" s="12"/>
      <c r="E66" s="12"/>
      <c r="F66" s="12"/>
      <c r="G66" s="12"/>
      <c r="H66" s="27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8"/>
      <c r="V66" s="39"/>
      <c r="W66" s="39"/>
      <c r="X66" s="39"/>
      <c r="Y66" s="39"/>
      <c r="Z66" s="40"/>
      <c r="AA66" s="33"/>
      <c r="AB66" s="33"/>
      <c r="AC66" s="33"/>
      <c r="AD66" s="33"/>
      <c r="AE66" s="33"/>
      <c r="AF66" s="35"/>
      <c r="AG66" s="36"/>
      <c r="AH66" s="36"/>
      <c r="AI66" s="36"/>
      <c r="AJ66" s="36"/>
      <c r="AK66" s="37"/>
      <c r="AL66" s="33"/>
      <c r="AM66" s="33"/>
      <c r="AN66" s="33"/>
      <c r="AO66" s="33"/>
      <c r="AP66" s="33"/>
      <c r="AQ66" s="35"/>
      <c r="AR66" s="36"/>
      <c r="AS66" s="36"/>
      <c r="AT66" s="36"/>
      <c r="AU66" s="36"/>
      <c r="AV66" s="37"/>
      <c r="AW66" s="33"/>
      <c r="AX66" s="33"/>
      <c r="AY66" s="33"/>
      <c r="AZ66" s="33"/>
      <c r="BA66" s="34"/>
    </row>
    <row r="67" spans="2:53" s="20" customFormat="1" ht="13.5" customHeight="1" x14ac:dyDescent="0.2">
      <c r="B67" s="32"/>
      <c r="C67" s="26"/>
      <c r="D67" s="12"/>
      <c r="E67" s="12"/>
      <c r="F67" s="12"/>
      <c r="G67" s="12"/>
      <c r="H67" s="27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8"/>
      <c r="V67" s="39"/>
      <c r="W67" s="39"/>
      <c r="X67" s="39"/>
      <c r="Y67" s="39"/>
      <c r="Z67" s="40"/>
      <c r="AA67" s="33"/>
      <c r="AB67" s="33"/>
      <c r="AC67" s="33"/>
      <c r="AD67" s="33"/>
      <c r="AE67" s="33"/>
      <c r="AF67" s="38"/>
      <c r="AG67" s="64"/>
      <c r="AH67" s="64"/>
      <c r="AI67" s="64"/>
      <c r="AJ67" s="64"/>
      <c r="AK67" s="40"/>
      <c r="AL67" s="33"/>
      <c r="AM67" s="33"/>
      <c r="AN67" s="33"/>
      <c r="AO67" s="33"/>
      <c r="AP67" s="33"/>
      <c r="AQ67" s="38"/>
      <c r="AR67" s="64"/>
      <c r="AS67" s="64"/>
      <c r="AT67" s="64"/>
      <c r="AU67" s="64"/>
      <c r="AV67" s="40"/>
      <c r="AW67" s="33"/>
      <c r="AX67" s="33"/>
      <c r="AY67" s="33"/>
      <c r="AZ67" s="33"/>
      <c r="BA67" s="34"/>
    </row>
    <row r="68" spans="2:53" s="20" customFormat="1" ht="13.5" customHeight="1" x14ac:dyDescent="0.2">
      <c r="B68" s="32"/>
      <c r="C68" s="26"/>
      <c r="D68" s="12"/>
      <c r="E68" s="12"/>
      <c r="F68" s="12"/>
      <c r="G68" s="12"/>
      <c r="H68" s="27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8" t="s">
        <v>88</v>
      </c>
      <c r="V68" s="39"/>
      <c r="W68" s="39"/>
      <c r="X68" s="39"/>
      <c r="Y68" s="39"/>
      <c r="Z68" s="40"/>
      <c r="AA68" s="33"/>
      <c r="AB68" s="33"/>
      <c r="AC68" s="33"/>
      <c r="AD68" s="33"/>
      <c r="AE68" s="33"/>
      <c r="AF68" s="38" t="s">
        <v>90</v>
      </c>
      <c r="AG68" s="39"/>
      <c r="AH68" s="39"/>
      <c r="AI68" s="39"/>
      <c r="AJ68" s="39"/>
      <c r="AK68" s="40"/>
      <c r="AL68" s="33"/>
      <c r="AM68" s="33"/>
      <c r="AN68" s="33"/>
      <c r="AO68" s="33"/>
      <c r="AP68" s="33"/>
      <c r="AQ68" s="38" t="s">
        <v>89</v>
      </c>
      <c r="AR68" s="39"/>
      <c r="AS68" s="39"/>
      <c r="AT68" s="39"/>
      <c r="AU68" s="39"/>
      <c r="AV68" s="40"/>
      <c r="AW68" s="33"/>
      <c r="AX68" s="33"/>
      <c r="AY68" s="33" t="s">
        <v>91</v>
      </c>
      <c r="AZ68" s="33"/>
      <c r="BA68" s="34"/>
    </row>
    <row r="69" spans="2:53" s="20" customFormat="1" ht="16.5" x14ac:dyDescent="0.2">
      <c r="B69" s="32"/>
      <c r="C69" s="26"/>
      <c r="D69" s="12"/>
      <c r="E69" s="12"/>
      <c r="F69" s="12"/>
      <c r="G69" s="12"/>
      <c r="H69" s="27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8"/>
      <c r="V69" s="39"/>
      <c r="W69" s="39"/>
      <c r="X69" s="39"/>
      <c r="Y69" s="39"/>
      <c r="Z69" s="40"/>
      <c r="AA69" s="33"/>
      <c r="AB69" s="33"/>
      <c r="AC69" s="33"/>
      <c r="AD69" s="33"/>
      <c r="AE69" s="33"/>
      <c r="AF69" s="38"/>
      <c r="AG69" s="39"/>
      <c r="AH69" s="39"/>
      <c r="AI69" s="39"/>
      <c r="AJ69" s="39"/>
      <c r="AK69" s="40"/>
      <c r="AL69" s="33"/>
      <c r="AM69" s="33"/>
      <c r="AN69" s="33"/>
      <c r="AO69" s="33"/>
      <c r="AP69" s="33"/>
      <c r="AQ69" s="38"/>
      <c r="AR69" s="39"/>
      <c r="AS69" s="39"/>
      <c r="AT69" s="39"/>
      <c r="AU69" s="39"/>
      <c r="AV69" s="40"/>
      <c r="AW69" s="33"/>
      <c r="AX69" s="33"/>
      <c r="AY69" s="33"/>
      <c r="AZ69" s="33"/>
      <c r="BA69" s="34"/>
    </row>
    <row r="70" spans="2:53" s="20" customFormat="1" ht="15" customHeight="1" x14ac:dyDescent="0.2">
      <c r="B70" s="32"/>
      <c r="C70" s="26"/>
      <c r="D70" s="12"/>
      <c r="E70" s="12"/>
      <c r="F70" s="12"/>
      <c r="G70" s="12"/>
      <c r="H70" s="27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8"/>
      <c r="V70" s="39"/>
      <c r="W70" s="39"/>
      <c r="X70" s="39"/>
      <c r="Y70" s="39"/>
      <c r="Z70" s="40"/>
      <c r="AA70" s="33"/>
      <c r="AB70" s="33"/>
      <c r="AC70" s="33"/>
      <c r="AD70" s="33"/>
      <c r="AE70" s="33"/>
      <c r="AF70" s="38"/>
      <c r="AG70" s="39"/>
      <c r="AH70" s="39"/>
      <c r="AI70" s="39"/>
      <c r="AJ70" s="39"/>
      <c r="AK70" s="40"/>
      <c r="AL70" s="33"/>
      <c r="AM70" s="33"/>
      <c r="AN70" s="33"/>
      <c r="AO70" s="33"/>
      <c r="AP70" s="33"/>
      <c r="AQ70" s="38" t="s">
        <v>92</v>
      </c>
      <c r="AR70" s="39"/>
      <c r="AS70" s="39"/>
      <c r="AT70" s="39"/>
      <c r="AU70" s="39"/>
      <c r="AV70" s="40"/>
      <c r="AW70" s="33"/>
      <c r="AX70" s="33"/>
      <c r="AY70" s="44"/>
      <c r="AZ70" s="33"/>
      <c r="BA70" s="34"/>
    </row>
    <row r="71" spans="2:53" s="20" customFormat="1" ht="13.5" customHeight="1" x14ac:dyDescent="0.2">
      <c r="B71" s="32"/>
      <c r="C71" s="26"/>
      <c r="D71" s="12"/>
      <c r="E71" s="12"/>
      <c r="F71" s="12"/>
      <c r="G71" s="12"/>
      <c r="H71" s="27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8"/>
      <c r="V71" s="39"/>
      <c r="W71" s="39"/>
      <c r="X71" s="39"/>
      <c r="Y71" s="39"/>
      <c r="Z71" s="40"/>
      <c r="AA71" s="33"/>
      <c r="AB71" s="33"/>
      <c r="AC71" s="33"/>
      <c r="AD71" s="33"/>
      <c r="AE71" s="33"/>
      <c r="AF71" s="38"/>
      <c r="AG71" s="39"/>
      <c r="AH71" s="39"/>
      <c r="AI71" s="39"/>
      <c r="AJ71" s="39"/>
      <c r="AK71" s="40"/>
      <c r="AL71" s="33"/>
      <c r="AM71" s="33"/>
      <c r="AN71" s="33"/>
      <c r="AO71" s="33"/>
      <c r="AP71" s="33"/>
      <c r="AQ71" s="41"/>
      <c r="AR71" s="42"/>
      <c r="AS71" s="42"/>
      <c r="AT71" s="42"/>
      <c r="AU71" s="42"/>
      <c r="AV71" s="43"/>
      <c r="AW71" s="33"/>
      <c r="AX71" s="33"/>
      <c r="AY71" s="44"/>
      <c r="AZ71" s="33"/>
      <c r="BA71" s="34"/>
    </row>
    <row r="72" spans="2:53" s="20" customFormat="1" ht="13.5" customHeight="1" x14ac:dyDescent="0.2">
      <c r="B72" s="32"/>
      <c r="C72" s="26"/>
      <c r="D72" s="12"/>
      <c r="E72" s="12"/>
      <c r="F72" s="12"/>
      <c r="G72" s="12"/>
      <c r="H72" s="27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8"/>
      <c r="V72" s="39"/>
      <c r="W72" s="39"/>
      <c r="X72" s="39"/>
      <c r="Y72" s="39"/>
      <c r="Z72" s="40"/>
      <c r="AA72" s="33"/>
      <c r="AB72" s="33"/>
      <c r="AC72" s="33"/>
      <c r="AD72" s="33"/>
      <c r="AE72" s="33"/>
      <c r="AF72" s="38"/>
      <c r="AG72" s="39"/>
      <c r="AH72" s="39"/>
      <c r="AI72" s="39"/>
      <c r="AJ72" s="39"/>
      <c r="AK72" s="40"/>
      <c r="AL72" s="33"/>
      <c r="AM72" s="33"/>
      <c r="AN72" s="33"/>
      <c r="AO72" s="33"/>
      <c r="AP72" s="33"/>
      <c r="AQ72" s="33"/>
      <c r="AR72" s="33"/>
      <c r="AS72" s="33"/>
      <c r="AT72" s="33"/>
      <c r="AU72" s="33"/>
      <c r="AV72" s="33"/>
      <c r="AW72" s="33"/>
      <c r="AX72" s="33"/>
      <c r="AY72" s="33"/>
      <c r="AZ72" s="33"/>
      <c r="BA72" s="34"/>
    </row>
    <row r="73" spans="2:53" s="20" customFormat="1" ht="13.5" customHeight="1" x14ac:dyDescent="0.2">
      <c r="B73" s="32"/>
      <c r="C73" s="26"/>
      <c r="D73" s="12"/>
      <c r="E73" s="12"/>
      <c r="F73" s="12"/>
      <c r="G73" s="12"/>
      <c r="H73" s="27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8"/>
      <c r="V73" s="39"/>
      <c r="W73" s="39"/>
      <c r="X73" s="39"/>
      <c r="Y73" s="39"/>
      <c r="Z73" s="40"/>
      <c r="AA73" s="33"/>
      <c r="AB73" s="33"/>
      <c r="AC73" s="33"/>
      <c r="AD73" s="33"/>
      <c r="AE73" s="33"/>
      <c r="AF73" s="38"/>
      <c r="AG73" s="39"/>
      <c r="AH73" s="39"/>
      <c r="AI73" s="39"/>
      <c r="AJ73" s="39"/>
      <c r="AK73" s="40"/>
      <c r="AL73" s="33"/>
      <c r="AM73" s="33"/>
      <c r="AN73" s="33"/>
      <c r="AO73" s="33"/>
      <c r="AP73" s="33"/>
      <c r="AQ73" s="33" t="s">
        <v>163</v>
      </c>
      <c r="AR73" s="33"/>
      <c r="AS73" s="33"/>
      <c r="AT73" s="33"/>
      <c r="AU73" s="33"/>
      <c r="AV73" s="33"/>
      <c r="AW73" s="33"/>
      <c r="AX73" s="33"/>
      <c r="AY73" s="33"/>
      <c r="AZ73" s="33"/>
      <c r="BA73" s="34"/>
    </row>
    <row r="74" spans="2:53" s="20" customFormat="1" ht="13.5" customHeight="1" x14ac:dyDescent="0.2">
      <c r="B74" s="32"/>
      <c r="C74" s="26"/>
      <c r="D74" s="12"/>
      <c r="E74" s="12"/>
      <c r="F74" s="12"/>
      <c r="G74" s="12"/>
      <c r="H74" s="27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8"/>
      <c r="V74" s="39"/>
      <c r="W74" s="39"/>
      <c r="X74" s="39"/>
      <c r="Y74" s="39"/>
      <c r="Z74" s="40"/>
      <c r="AA74" s="33"/>
      <c r="AB74" s="33"/>
      <c r="AC74" s="33"/>
      <c r="AD74" s="33"/>
      <c r="AE74" s="33"/>
      <c r="AF74" s="38"/>
      <c r="AG74" s="39"/>
      <c r="AH74" s="39"/>
      <c r="AI74" s="39"/>
      <c r="AJ74" s="39"/>
      <c r="AK74" s="40"/>
      <c r="AL74" s="33"/>
      <c r="AM74" s="33"/>
      <c r="AN74" s="33"/>
      <c r="AO74" s="33"/>
      <c r="AP74" s="33"/>
      <c r="AQ74" s="35"/>
      <c r="AR74" s="36"/>
      <c r="AS74" s="36"/>
      <c r="AT74" s="36"/>
      <c r="AU74" s="36"/>
      <c r="AV74" s="37"/>
      <c r="AW74" s="33"/>
      <c r="AX74" s="33"/>
      <c r="AY74" s="33"/>
      <c r="AZ74" s="33"/>
      <c r="BA74" s="34"/>
    </row>
    <row r="75" spans="2:53" s="20" customFormat="1" ht="13.5" customHeight="1" x14ac:dyDescent="0.2">
      <c r="B75" s="32"/>
      <c r="C75" s="26"/>
      <c r="D75" s="12"/>
      <c r="E75" s="12"/>
      <c r="F75" s="12"/>
      <c r="G75" s="12"/>
      <c r="H75" s="27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8"/>
      <c r="V75" s="39"/>
      <c r="W75" s="39"/>
      <c r="X75" s="39"/>
      <c r="Y75" s="39"/>
      <c r="Z75" s="40"/>
      <c r="AA75" s="33"/>
      <c r="AB75" s="33"/>
      <c r="AC75" s="33"/>
      <c r="AD75" s="33"/>
      <c r="AE75" s="33"/>
      <c r="AF75" s="38" t="s">
        <v>93</v>
      </c>
      <c r="AG75" s="39"/>
      <c r="AH75" s="39"/>
      <c r="AI75" s="39"/>
      <c r="AJ75" s="39"/>
      <c r="AK75" s="40"/>
      <c r="AL75" s="33"/>
      <c r="AM75" s="33"/>
      <c r="AN75" s="33"/>
      <c r="AO75" s="33"/>
      <c r="AP75" s="33"/>
      <c r="AQ75" s="38" t="s">
        <v>89</v>
      </c>
      <c r="AR75" s="39"/>
      <c r="AS75" s="39"/>
      <c r="AT75" s="39"/>
      <c r="AU75" s="39"/>
      <c r="AV75" s="40"/>
      <c r="AW75" s="33"/>
      <c r="AX75" s="33"/>
      <c r="AY75" s="33"/>
      <c r="AZ75" s="33"/>
      <c r="BA75" s="34"/>
    </row>
    <row r="76" spans="2:53" s="20" customFormat="1" ht="13.5" customHeight="1" x14ac:dyDescent="0.2">
      <c r="B76" s="32"/>
      <c r="C76" s="26"/>
      <c r="D76" s="12"/>
      <c r="E76" s="12"/>
      <c r="F76" s="12"/>
      <c r="G76" s="12"/>
      <c r="H76" s="27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8"/>
      <c r="V76" s="39"/>
      <c r="W76" s="39"/>
      <c r="X76" s="39"/>
      <c r="Y76" s="39"/>
      <c r="Z76" s="40"/>
      <c r="AA76" s="33"/>
      <c r="AB76" s="33"/>
      <c r="AC76" s="33"/>
      <c r="AD76" s="33"/>
      <c r="AE76" s="33"/>
      <c r="AF76" s="38"/>
      <c r="AG76" s="39"/>
      <c r="AH76" s="39"/>
      <c r="AI76" s="39"/>
      <c r="AJ76" s="39"/>
      <c r="AK76" s="40"/>
      <c r="AL76" s="33"/>
      <c r="AM76" s="33"/>
      <c r="AN76" s="33"/>
      <c r="AO76" s="33"/>
      <c r="AP76" s="33"/>
      <c r="AQ76" s="38"/>
      <c r="AR76" s="39"/>
      <c r="AS76" s="39"/>
      <c r="AT76" s="39"/>
      <c r="AU76" s="39"/>
      <c r="AV76" s="40"/>
      <c r="AW76" s="33"/>
      <c r="AX76" s="33"/>
      <c r="AY76" s="33"/>
      <c r="AZ76" s="33"/>
      <c r="BA76" s="34"/>
    </row>
    <row r="77" spans="2:53" s="20" customFormat="1" ht="13.5" customHeight="1" x14ac:dyDescent="0.2">
      <c r="B77" s="32"/>
      <c r="C77" s="26"/>
      <c r="D77" s="12"/>
      <c r="E77" s="12"/>
      <c r="F77" s="12"/>
      <c r="G77" s="12"/>
      <c r="H77" s="27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8"/>
      <c r="V77" s="39"/>
      <c r="W77" s="39"/>
      <c r="X77" s="39"/>
      <c r="Y77" s="39"/>
      <c r="Z77" s="40"/>
      <c r="AA77" s="33"/>
      <c r="AB77" s="33"/>
      <c r="AC77" s="33"/>
      <c r="AD77" s="33"/>
      <c r="AE77" s="33"/>
      <c r="AF77" s="38" t="s">
        <v>71</v>
      </c>
      <c r="AG77" s="39"/>
      <c r="AH77" s="39"/>
      <c r="AI77" s="39"/>
      <c r="AJ77" s="39"/>
      <c r="AK77" s="40"/>
      <c r="AL77" s="33"/>
      <c r="AM77" s="33"/>
      <c r="AN77" s="33"/>
      <c r="AO77" s="33"/>
      <c r="AP77" s="33"/>
      <c r="AQ77" s="38" t="s">
        <v>92</v>
      </c>
      <c r="AR77" s="39"/>
      <c r="AS77" s="39"/>
      <c r="AT77" s="39"/>
      <c r="AU77" s="39"/>
      <c r="AV77" s="40"/>
      <c r="AW77" s="33"/>
      <c r="AX77" s="33"/>
      <c r="AY77" s="33"/>
      <c r="AZ77" s="33"/>
      <c r="BA77" s="34"/>
    </row>
    <row r="78" spans="2:53" s="20" customFormat="1" ht="13.5" customHeight="1" x14ac:dyDescent="0.2">
      <c r="B78" s="32"/>
      <c r="C78" s="26"/>
      <c r="D78" s="12"/>
      <c r="E78" s="12"/>
      <c r="F78" s="12"/>
      <c r="G78" s="12"/>
      <c r="H78" s="27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8"/>
      <c r="V78" s="39"/>
      <c r="W78" s="39"/>
      <c r="X78" s="39"/>
      <c r="Y78" s="39"/>
      <c r="Z78" s="40"/>
      <c r="AA78" s="33"/>
      <c r="AB78" s="33"/>
      <c r="AC78" s="33"/>
      <c r="AD78" s="33"/>
      <c r="AE78" s="33"/>
      <c r="AF78" s="41"/>
      <c r="AG78" s="42"/>
      <c r="AH78" s="42"/>
      <c r="AI78" s="42"/>
      <c r="AJ78" s="42"/>
      <c r="AK78" s="43"/>
      <c r="AL78" s="33"/>
      <c r="AM78" s="33"/>
      <c r="AN78" s="33"/>
      <c r="AO78" s="33"/>
      <c r="AP78" s="33"/>
      <c r="AQ78" s="41"/>
      <c r="AR78" s="42"/>
      <c r="AS78" s="42"/>
      <c r="AT78" s="42"/>
      <c r="AU78" s="42"/>
      <c r="AV78" s="43"/>
      <c r="AW78" s="33"/>
      <c r="AX78" s="33"/>
      <c r="AY78" s="33"/>
      <c r="AZ78" s="33"/>
      <c r="BA78" s="34"/>
    </row>
    <row r="79" spans="2:53" s="20" customFormat="1" ht="13.5" customHeight="1" x14ac:dyDescent="0.2">
      <c r="B79" s="32"/>
      <c r="C79" s="26"/>
      <c r="D79" s="12"/>
      <c r="E79" s="12"/>
      <c r="F79" s="12"/>
      <c r="G79" s="12"/>
      <c r="H79" s="27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8"/>
      <c r="V79" s="39"/>
      <c r="W79" s="39"/>
      <c r="X79" s="39"/>
      <c r="Y79" s="39"/>
      <c r="Z79" s="40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  <c r="AO79" s="33"/>
      <c r="AP79" s="33"/>
      <c r="AQ79" s="33"/>
      <c r="AR79" s="33"/>
      <c r="AS79" s="33"/>
      <c r="AT79" s="33"/>
      <c r="AU79" s="33"/>
      <c r="AV79" s="33"/>
      <c r="AW79" s="33"/>
      <c r="AX79" s="33"/>
      <c r="AY79" s="33"/>
      <c r="AZ79" s="33"/>
      <c r="BA79" s="34"/>
    </row>
    <row r="80" spans="2:53" s="20" customFormat="1" ht="13.5" customHeight="1" x14ac:dyDescent="0.2">
      <c r="B80" s="32"/>
      <c r="C80" s="26"/>
      <c r="D80" s="12"/>
      <c r="E80" s="12"/>
      <c r="F80" s="12"/>
      <c r="G80" s="12"/>
      <c r="H80" s="27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8"/>
      <c r="V80" s="39"/>
      <c r="W80" s="39"/>
      <c r="X80" s="39"/>
      <c r="Y80" s="39"/>
      <c r="Z80" s="40"/>
      <c r="AA80" s="33"/>
      <c r="AB80" s="33"/>
      <c r="AC80" s="33"/>
      <c r="AD80" s="33"/>
      <c r="AE80" s="33"/>
      <c r="AF80" s="33" t="s">
        <v>164</v>
      </c>
      <c r="AG80" s="33"/>
      <c r="AH80" s="33"/>
      <c r="AI80" s="33"/>
      <c r="AJ80" s="33"/>
      <c r="AK80" s="33"/>
      <c r="AL80" s="33"/>
      <c r="AM80" s="33"/>
      <c r="AN80" s="33"/>
      <c r="AO80" s="33"/>
      <c r="AP80" s="33"/>
      <c r="AQ80" s="33"/>
      <c r="AR80" s="33"/>
      <c r="AS80" s="33"/>
      <c r="AT80" s="33"/>
      <c r="AU80" s="33"/>
      <c r="AV80" s="33"/>
      <c r="AW80" s="33"/>
      <c r="AX80" s="33"/>
      <c r="AY80" s="33"/>
      <c r="AZ80" s="33"/>
      <c r="BA80" s="34"/>
    </row>
    <row r="81" spans="2:53" s="20" customFormat="1" ht="13.5" customHeight="1" x14ac:dyDescent="0.2">
      <c r="B81" s="32"/>
      <c r="C81" s="26" t="s">
        <v>96</v>
      </c>
      <c r="D81" s="12"/>
      <c r="E81" s="12"/>
      <c r="F81" s="12"/>
      <c r="G81" s="12"/>
      <c r="H81" s="27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8"/>
      <c r="V81" s="39"/>
      <c r="W81" s="39"/>
      <c r="X81" s="39"/>
      <c r="Y81" s="39"/>
      <c r="Z81" s="40"/>
      <c r="AA81" s="33"/>
      <c r="AB81" s="33"/>
      <c r="AC81" s="33"/>
      <c r="AD81" s="33"/>
      <c r="AE81" s="33"/>
      <c r="AF81" s="35"/>
      <c r="AG81" s="36"/>
      <c r="AH81" s="36"/>
      <c r="AI81" s="36"/>
      <c r="AJ81" s="36"/>
      <c r="AK81" s="37"/>
      <c r="AL81" s="33"/>
      <c r="AM81" s="33"/>
      <c r="AN81" s="33"/>
      <c r="AO81" s="33"/>
      <c r="AP81" s="33"/>
      <c r="AQ81" s="33"/>
      <c r="AR81" s="33"/>
      <c r="AS81" s="33"/>
      <c r="AT81" s="33"/>
      <c r="AU81" s="33"/>
      <c r="AV81" s="33"/>
      <c r="AW81" s="33"/>
      <c r="AX81" s="33"/>
      <c r="AY81" s="33"/>
      <c r="AZ81" s="33"/>
      <c r="BA81" s="34"/>
    </row>
    <row r="82" spans="2:53" s="20" customFormat="1" ht="13.5" customHeight="1" x14ac:dyDescent="0.2">
      <c r="B82" s="32"/>
      <c r="C82" s="26"/>
      <c r="D82" s="12"/>
      <c r="E82" s="12"/>
      <c r="F82" s="12"/>
      <c r="G82" s="12"/>
      <c r="H82" s="27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8"/>
      <c r="V82" s="39"/>
      <c r="W82" s="39"/>
      <c r="X82" s="39"/>
      <c r="Y82" s="39"/>
      <c r="Z82" s="40"/>
      <c r="AA82" s="33"/>
      <c r="AB82" s="33"/>
      <c r="AC82" s="33"/>
      <c r="AD82" s="33"/>
      <c r="AE82" s="33"/>
      <c r="AF82" s="38"/>
      <c r="AG82" s="64"/>
      <c r="AH82" s="64"/>
      <c r="AI82" s="64"/>
      <c r="AJ82" s="64"/>
      <c r="AK82" s="40"/>
      <c r="AL82" s="33"/>
      <c r="AM82" s="33"/>
      <c r="AN82" s="33"/>
      <c r="AO82" s="33"/>
      <c r="AP82" s="33"/>
      <c r="AQ82" s="33"/>
      <c r="AR82" s="33"/>
      <c r="AS82" s="33"/>
      <c r="AT82" s="33"/>
      <c r="AU82" s="33"/>
      <c r="AV82" s="33"/>
      <c r="AW82" s="33"/>
      <c r="AX82" s="33"/>
      <c r="AY82" s="33"/>
      <c r="AZ82" s="33"/>
      <c r="BA82" s="34"/>
    </row>
    <row r="83" spans="2:53" s="20" customFormat="1" ht="13.5" customHeight="1" x14ac:dyDescent="0.2">
      <c r="B83" s="32"/>
      <c r="C83" s="26"/>
      <c r="D83" s="12"/>
      <c r="E83" s="12"/>
      <c r="F83" s="12"/>
      <c r="G83" s="12"/>
      <c r="H83" s="27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8" t="s">
        <v>95</v>
      </c>
      <c r="V83" s="39"/>
      <c r="W83" s="39"/>
      <c r="X83" s="39"/>
      <c r="Y83" s="39"/>
      <c r="Z83" s="40"/>
      <c r="AA83" s="33"/>
      <c r="AB83" s="33"/>
      <c r="AC83" s="33"/>
      <c r="AD83" s="33"/>
      <c r="AE83" s="33"/>
      <c r="AF83" s="38"/>
      <c r="AG83" s="39"/>
      <c r="AH83" s="39"/>
      <c r="AI83" s="39"/>
      <c r="AJ83" s="39"/>
      <c r="AK83" s="40"/>
      <c r="AL83" s="33"/>
      <c r="AM83" s="33"/>
      <c r="AN83" s="33"/>
      <c r="AO83" s="33"/>
      <c r="AP83" s="33"/>
      <c r="AQ83" s="33"/>
      <c r="AR83" s="33"/>
      <c r="AS83" s="33"/>
      <c r="AT83" s="33"/>
      <c r="AU83" s="33"/>
      <c r="AV83" s="33"/>
      <c r="AW83" s="33"/>
      <c r="AX83" s="33"/>
      <c r="AY83" s="33"/>
      <c r="AZ83" s="33"/>
      <c r="BA83" s="34"/>
    </row>
    <row r="84" spans="2:53" s="20" customFormat="1" ht="13.5" customHeight="1" x14ac:dyDescent="0.2">
      <c r="B84" s="32"/>
      <c r="C84" s="26"/>
      <c r="D84" s="12"/>
      <c r="E84" s="12"/>
      <c r="F84" s="12"/>
      <c r="G84" s="12"/>
      <c r="H84" s="27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8"/>
      <c r="V84" s="39"/>
      <c r="W84" s="39"/>
      <c r="X84" s="39"/>
      <c r="Y84" s="39"/>
      <c r="Z84" s="40"/>
      <c r="AA84" s="33"/>
      <c r="AB84" s="33"/>
      <c r="AC84" s="33"/>
      <c r="AD84" s="33"/>
      <c r="AE84" s="33"/>
      <c r="AF84" s="38"/>
      <c r="AG84" s="39"/>
      <c r="AH84" s="39"/>
      <c r="AI84" s="39"/>
      <c r="AJ84" s="39"/>
      <c r="AK84" s="40"/>
      <c r="AL84" s="33"/>
      <c r="AM84" s="33"/>
      <c r="AN84" s="33"/>
      <c r="AO84" s="33"/>
      <c r="AP84" s="33"/>
      <c r="AQ84" s="33"/>
      <c r="AR84" s="33"/>
      <c r="AS84" s="33"/>
      <c r="AT84" s="33"/>
      <c r="AU84" s="33"/>
      <c r="AV84" s="33"/>
      <c r="AW84" s="33"/>
      <c r="AX84" s="33"/>
      <c r="AY84" s="33"/>
      <c r="AZ84" s="33"/>
      <c r="BA84" s="34"/>
    </row>
    <row r="85" spans="2:53" s="20" customFormat="1" ht="13.5" customHeight="1" x14ac:dyDescent="0.2">
      <c r="B85" s="32"/>
      <c r="C85" s="26"/>
      <c r="D85" s="12"/>
      <c r="E85" s="12"/>
      <c r="F85" s="12"/>
      <c r="G85" s="12"/>
      <c r="H85" s="27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8"/>
      <c r="V85" s="39"/>
      <c r="W85" s="39"/>
      <c r="X85" s="39"/>
      <c r="Y85" s="39"/>
      <c r="Z85" s="40"/>
      <c r="AA85" s="33"/>
      <c r="AB85" s="33"/>
      <c r="AC85" s="33"/>
      <c r="AD85" s="33"/>
      <c r="AE85" s="33"/>
      <c r="AF85" s="38" t="s">
        <v>94</v>
      </c>
      <c r="AG85" s="39"/>
      <c r="AH85" s="39"/>
      <c r="AI85" s="39"/>
      <c r="AJ85" s="39"/>
      <c r="AK85" s="40"/>
      <c r="AL85" s="33"/>
      <c r="AM85" s="33"/>
      <c r="AN85" s="33"/>
      <c r="AO85" s="33"/>
      <c r="AP85" s="33"/>
      <c r="AQ85" s="33"/>
      <c r="AR85" s="33"/>
      <c r="AS85" s="33"/>
      <c r="AT85" s="33"/>
      <c r="AU85" s="33"/>
      <c r="AV85" s="33"/>
      <c r="AW85" s="33"/>
      <c r="AX85" s="33"/>
      <c r="AY85" s="33"/>
      <c r="AZ85" s="33"/>
      <c r="BA85" s="34"/>
    </row>
    <row r="86" spans="2:53" s="20" customFormat="1" ht="13.5" customHeight="1" x14ac:dyDescent="0.2">
      <c r="B86" s="32"/>
      <c r="C86" s="26"/>
      <c r="D86" s="12"/>
      <c r="E86" s="12"/>
      <c r="F86" s="12"/>
      <c r="G86" s="12"/>
      <c r="H86" s="27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8"/>
      <c r="V86" s="39"/>
      <c r="W86" s="39"/>
      <c r="X86" s="39"/>
      <c r="Y86" s="39"/>
      <c r="Z86" s="40"/>
      <c r="AA86" s="33"/>
      <c r="AB86" s="33"/>
      <c r="AC86" s="33"/>
      <c r="AD86" s="33"/>
      <c r="AE86" s="33"/>
      <c r="AF86" s="38"/>
      <c r="AG86" s="39"/>
      <c r="AH86" s="39"/>
      <c r="AI86" s="39"/>
      <c r="AJ86" s="39"/>
      <c r="AK86" s="40"/>
      <c r="AL86" s="33"/>
      <c r="AM86" s="33"/>
      <c r="AN86" s="33"/>
      <c r="AO86" s="33"/>
      <c r="AP86" s="33"/>
      <c r="AQ86" s="33"/>
      <c r="AR86" s="33"/>
      <c r="AS86" s="33"/>
      <c r="AT86" s="33"/>
      <c r="AU86" s="33"/>
      <c r="AV86" s="33"/>
      <c r="AW86" s="33"/>
      <c r="AX86" s="33"/>
      <c r="AY86" s="33"/>
      <c r="AZ86" s="33"/>
      <c r="BA86" s="34"/>
    </row>
    <row r="87" spans="2:53" s="20" customFormat="1" ht="13.5" customHeight="1" x14ac:dyDescent="0.2">
      <c r="B87" s="32"/>
      <c r="C87" s="26"/>
      <c r="D87" s="12"/>
      <c r="E87" s="12"/>
      <c r="F87" s="12"/>
      <c r="G87" s="12"/>
      <c r="H87" s="27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8"/>
      <c r="V87" s="39"/>
      <c r="W87" s="39"/>
      <c r="X87" s="39"/>
      <c r="Y87" s="39"/>
      <c r="Z87" s="40"/>
      <c r="AA87" s="33"/>
      <c r="AB87" s="33"/>
      <c r="AC87" s="33"/>
      <c r="AD87" s="33"/>
      <c r="AE87" s="33"/>
      <c r="AF87" s="38" t="s">
        <v>71</v>
      </c>
      <c r="AG87" s="39"/>
      <c r="AH87" s="39"/>
      <c r="AI87" s="39"/>
      <c r="AJ87" s="39"/>
      <c r="AK87" s="40"/>
      <c r="AL87" s="33"/>
      <c r="AM87" s="33"/>
      <c r="AN87" s="33"/>
      <c r="AO87" s="33"/>
      <c r="AP87" s="33"/>
      <c r="AQ87" s="33"/>
      <c r="AR87" s="33"/>
      <c r="AS87" s="33"/>
      <c r="AT87" s="33"/>
      <c r="AU87" s="33"/>
      <c r="AV87" s="33"/>
      <c r="AW87" s="33"/>
      <c r="AX87" s="33"/>
      <c r="AY87" s="33"/>
      <c r="AZ87" s="33"/>
      <c r="BA87" s="34"/>
    </row>
    <row r="88" spans="2:53" s="20" customFormat="1" ht="13.5" customHeight="1" x14ac:dyDescent="0.2">
      <c r="B88" s="32"/>
      <c r="C88" s="26"/>
      <c r="D88" s="12"/>
      <c r="E88" s="12"/>
      <c r="F88" s="12"/>
      <c r="G88" s="12"/>
      <c r="H88" s="27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41"/>
      <c r="V88" s="42"/>
      <c r="W88" s="42"/>
      <c r="X88" s="42"/>
      <c r="Y88" s="42"/>
      <c r="Z88" s="43"/>
      <c r="AA88" s="33"/>
      <c r="AB88" s="33"/>
      <c r="AC88" s="33"/>
      <c r="AD88" s="33"/>
      <c r="AE88" s="33"/>
      <c r="AF88" s="41"/>
      <c r="AG88" s="42"/>
      <c r="AH88" s="42"/>
      <c r="AI88" s="42"/>
      <c r="AJ88" s="42"/>
      <c r="AK88" s="43"/>
      <c r="AL88" s="33"/>
      <c r="AM88" s="33"/>
      <c r="AN88" s="33"/>
      <c r="AO88" s="33"/>
      <c r="AP88" s="33"/>
      <c r="AQ88" s="33"/>
      <c r="AR88" s="33"/>
      <c r="AS88" s="33"/>
      <c r="AT88" s="33"/>
      <c r="AU88" s="33"/>
      <c r="AV88" s="33"/>
      <c r="AW88" s="33"/>
      <c r="AX88" s="33"/>
      <c r="AY88" s="33"/>
      <c r="AZ88" s="33"/>
      <c r="BA88" s="34"/>
    </row>
    <row r="89" spans="2:53" s="20" customFormat="1" ht="13.5" customHeight="1" x14ac:dyDescent="0.2">
      <c r="B89" s="32"/>
      <c r="C89" s="26"/>
      <c r="D89" s="12"/>
      <c r="E89" s="12"/>
      <c r="F89" s="12"/>
      <c r="G89" s="12"/>
      <c r="H89" s="27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  <c r="AK89" s="33"/>
      <c r="AL89" s="33"/>
      <c r="AM89" s="33"/>
      <c r="AN89" s="33"/>
      <c r="AO89" s="33"/>
      <c r="AP89" s="33"/>
      <c r="AQ89" s="33"/>
      <c r="AR89" s="33"/>
      <c r="AS89" s="33"/>
      <c r="AT89" s="33"/>
      <c r="AU89" s="33"/>
      <c r="AV89" s="33"/>
      <c r="AW89" s="33"/>
      <c r="AX89" s="33"/>
      <c r="AY89" s="33"/>
      <c r="AZ89" s="33"/>
      <c r="BA89" s="34"/>
    </row>
    <row r="90" spans="2:53" s="20" customFormat="1" ht="13.5" customHeight="1" x14ac:dyDescent="0.2">
      <c r="B90" s="32"/>
      <c r="C90" s="26"/>
      <c r="D90" s="12"/>
      <c r="E90" s="12"/>
      <c r="F90" s="12"/>
      <c r="G90" s="12"/>
      <c r="H90" s="27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  <c r="AK90" s="33"/>
      <c r="AL90" s="33"/>
      <c r="AM90" s="33"/>
      <c r="AN90" s="33"/>
      <c r="AO90" s="33"/>
      <c r="AP90" s="33"/>
      <c r="AQ90" s="33"/>
      <c r="AR90" s="33"/>
      <c r="AS90" s="33"/>
      <c r="AT90" s="33"/>
      <c r="AU90" s="33"/>
      <c r="AV90" s="33"/>
      <c r="AW90" s="33"/>
      <c r="AX90" s="33"/>
      <c r="AY90" s="33"/>
      <c r="AZ90" s="33"/>
      <c r="BA90" s="34"/>
    </row>
    <row r="91" spans="2:53" s="20" customFormat="1" ht="16.5" x14ac:dyDescent="0.2">
      <c r="B91" s="32"/>
      <c r="C91" s="26"/>
      <c r="D91" s="12"/>
      <c r="E91" s="12"/>
      <c r="F91" s="12"/>
      <c r="G91" s="12"/>
      <c r="H91" s="27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  <c r="AK91" s="33"/>
      <c r="AL91" s="33"/>
      <c r="AM91" s="33"/>
      <c r="AN91" s="33"/>
      <c r="AO91" s="33"/>
      <c r="AP91" s="33"/>
      <c r="AQ91" s="33"/>
      <c r="AR91" s="33"/>
      <c r="AS91" s="33"/>
      <c r="AT91" s="33"/>
      <c r="AU91" s="33"/>
      <c r="AV91" s="33"/>
      <c r="AW91" s="33"/>
      <c r="AX91" s="33"/>
      <c r="AY91" s="33"/>
      <c r="AZ91" s="33"/>
      <c r="BA91" s="34"/>
    </row>
    <row r="92" spans="2:53" s="20" customFormat="1" ht="16.5" x14ac:dyDescent="0.2">
      <c r="B92" s="45" t="s">
        <v>51</v>
      </c>
      <c r="C92" s="26"/>
      <c r="D92" s="12"/>
      <c r="E92" s="12"/>
      <c r="F92" s="12"/>
      <c r="G92" s="12"/>
      <c r="H92" s="27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  <c r="AC92" s="46"/>
      <c r="AD92" s="46"/>
      <c r="AE92" s="46"/>
      <c r="AF92" s="46"/>
      <c r="AG92" s="46"/>
      <c r="AH92" s="46"/>
      <c r="AI92" s="46"/>
      <c r="AJ92" s="46"/>
      <c r="AK92" s="46"/>
      <c r="AL92" s="46"/>
      <c r="AM92" s="46"/>
      <c r="AN92" s="46"/>
      <c r="AO92" s="46"/>
      <c r="AP92" s="46"/>
      <c r="AQ92" s="46"/>
      <c r="AR92" s="46"/>
      <c r="AS92" s="46"/>
      <c r="AT92" s="46"/>
      <c r="AU92" s="46"/>
      <c r="AV92" s="46"/>
      <c r="AW92" s="46"/>
      <c r="AX92" s="46"/>
      <c r="AY92" s="46"/>
      <c r="AZ92" s="46"/>
      <c r="BA92" s="47"/>
    </row>
    <row r="93" spans="2:53" s="20" customFormat="1" ht="16.5" x14ac:dyDescent="0.2">
      <c r="B93" s="48"/>
      <c r="C93" s="26"/>
      <c r="D93" s="12"/>
      <c r="E93" s="12"/>
      <c r="F93" s="12"/>
      <c r="G93" s="12"/>
      <c r="H93" s="27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  <c r="AA93" s="49"/>
      <c r="AB93" s="49"/>
      <c r="AC93" s="49"/>
      <c r="AD93" s="49"/>
      <c r="AE93" s="49"/>
      <c r="AF93" s="49"/>
      <c r="AG93" s="49"/>
      <c r="AH93" s="49"/>
      <c r="AI93" s="49"/>
      <c r="AJ93" s="49"/>
      <c r="AK93" s="49"/>
      <c r="AL93" s="49"/>
      <c r="AM93" s="49"/>
      <c r="AN93" s="49"/>
      <c r="AO93" s="49"/>
      <c r="AP93" s="49"/>
      <c r="AQ93" s="49"/>
      <c r="AR93" s="49"/>
      <c r="AS93" s="49"/>
      <c r="AT93" s="49"/>
      <c r="AU93" s="49"/>
      <c r="AV93" s="49"/>
      <c r="AW93" s="49"/>
      <c r="AX93" s="49"/>
      <c r="AY93" s="49"/>
      <c r="AZ93" s="49"/>
      <c r="BA93" s="50"/>
    </row>
    <row r="94" spans="2:53" s="20" customFormat="1" ht="16.5" x14ac:dyDescent="0.2">
      <c r="B94" s="48"/>
      <c r="C94" s="26"/>
      <c r="D94" s="12"/>
      <c r="E94" s="12"/>
      <c r="F94" s="12"/>
      <c r="G94" s="12"/>
      <c r="H94" s="27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49"/>
      <c r="AC94" s="49"/>
      <c r="AD94" s="49"/>
      <c r="AE94" s="49"/>
      <c r="AF94" s="49"/>
      <c r="AG94" s="49"/>
      <c r="AH94" s="49"/>
      <c r="AI94" s="49"/>
      <c r="AJ94" s="49"/>
      <c r="AK94" s="49"/>
      <c r="AL94" s="49"/>
      <c r="AM94" s="49"/>
      <c r="AN94" s="49"/>
      <c r="AO94" s="49"/>
      <c r="AP94" s="49"/>
      <c r="AQ94" s="49"/>
      <c r="AR94" s="49"/>
      <c r="AS94" s="49"/>
      <c r="AT94" s="49"/>
      <c r="AU94" s="49"/>
      <c r="AV94" s="49"/>
      <c r="AW94" s="49"/>
      <c r="AX94" s="49"/>
      <c r="AY94" s="49"/>
      <c r="AZ94" s="49"/>
      <c r="BA94" s="50"/>
    </row>
    <row r="95" spans="2:53" s="20" customFormat="1" ht="13.5" customHeight="1" x14ac:dyDescent="0.2">
      <c r="B95" s="48"/>
      <c r="C95" s="26"/>
      <c r="D95" s="12"/>
      <c r="E95" s="12"/>
      <c r="F95" s="12"/>
      <c r="G95" s="12"/>
      <c r="H95" s="27"/>
      <c r="I95" s="49"/>
      <c r="J95" s="49"/>
      <c r="K95" s="49"/>
      <c r="L95" s="49" t="s">
        <v>165</v>
      </c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49"/>
      <c r="AB95" s="49"/>
      <c r="AC95" s="49"/>
      <c r="AD95" s="49"/>
      <c r="AE95" s="49"/>
      <c r="AF95" s="49"/>
      <c r="AG95" s="49"/>
      <c r="AH95" s="49"/>
      <c r="AI95" s="49"/>
      <c r="AJ95" s="49"/>
      <c r="AK95" s="49"/>
      <c r="AL95" s="49"/>
      <c r="AM95" s="49"/>
      <c r="AN95" s="49"/>
      <c r="AO95" s="49"/>
      <c r="AP95" s="49"/>
      <c r="AQ95" s="49"/>
      <c r="AR95" s="49"/>
      <c r="AS95" s="49"/>
      <c r="AT95" s="49"/>
      <c r="AU95" s="49"/>
      <c r="AV95" s="49"/>
      <c r="AW95" s="49"/>
      <c r="AX95" s="49"/>
      <c r="AY95" s="49"/>
      <c r="AZ95" s="49"/>
      <c r="BA95" s="50"/>
    </row>
    <row r="96" spans="2:53" s="20" customFormat="1" ht="13.5" customHeight="1" x14ac:dyDescent="0.2">
      <c r="B96" s="48"/>
      <c r="C96" s="26" t="s">
        <v>62</v>
      </c>
      <c r="D96" s="12"/>
      <c r="E96" s="12"/>
      <c r="F96" s="12"/>
      <c r="G96" s="12"/>
      <c r="H96" s="27"/>
      <c r="I96" s="49"/>
      <c r="J96" s="49"/>
      <c r="K96" s="49"/>
      <c r="L96" s="23"/>
      <c r="M96" s="24"/>
      <c r="N96" s="24"/>
      <c r="O96" s="24"/>
      <c r="P96" s="24"/>
      <c r="Q96" s="25"/>
      <c r="R96" s="49"/>
      <c r="S96" s="49"/>
      <c r="T96" s="49"/>
      <c r="U96" s="49"/>
      <c r="V96" s="49"/>
      <c r="W96" s="49"/>
      <c r="X96" s="49"/>
      <c r="Y96" s="49"/>
      <c r="Z96" s="49"/>
      <c r="AA96" s="49"/>
      <c r="AB96" s="49"/>
      <c r="AC96" s="49"/>
      <c r="AD96" s="49"/>
      <c r="AE96" s="49"/>
      <c r="AF96" s="49"/>
      <c r="AG96" s="49"/>
      <c r="AH96" s="49"/>
      <c r="AI96" s="49"/>
      <c r="AJ96" s="49"/>
      <c r="AK96" s="49"/>
      <c r="AL96" s="49"/>
      <c r="AM96" s="49"/>
      <c r="AN96" s="49"/>
      <c r="AO96" s="49"/>
      <c r="AP96" s="49"/>
      <c r="AQ96" s="49"/>
      <c r="AR96" s="49"/>
      <c r="AS96" s="49"/>
      <c r="AT96" s="49"/>
      <c r="AU96" s="49"/>
      <c r="AV96" s="49"/>
      <c r="AW96" s="49"/>
      <c r="AX96" s="49"/>
      <c r="AY96" s="49"/>
      <c r="AZ96" s="49"/>
      <c r="BA96" s="50"/>
    </row>
    <row r="97" spans="2:53" s="20" customFormat="1" ht="13.5" customHeight="1" x14ac:dyDescent="0.2">
      <c r="B97" s="48"/>
      <c r="C97" s="26"/>
      <c r="D97" s="12"/>
      <c r="E97" s="12"/>
      <c r="F97" s="12"/>
      <c r="G97" s="12"/>
      <c r="H97" s="27"/>
      <c r="I97" s="49"/>
      <c r="J97" s="49"/>
      <c r="K97" s="49"/>
      <c r="L97" s="26"/>
      <c r="M97" s="28"/>
      <c r="N97" s="28"/>
      <c r="O97" s="28"/>
      <c r="P97" s="28"/>
      <c r="Q97" s="27"/>
      <c r="R97" s="49"/>
      <c r="S97" s="49"/>
      <c r="T97" s="49"/>
      <c r="U97" s="49"/>
      <c r="V97" s="49"/>
      <c r="W97" s="49"/>
      <c r="X97" s="49"/>
      <c r="Y97" s="49"/>
      <c r="Z97" s="49"/>
      <c r="AA97" s="49"/>
      <c r="AB97" s="49"/>
      <c r="AC97" s="49"/>
      <c r="AD97" s="49"/>
      <c r="AE97" s="49"/>
      <c r="AF97" s="49"/>
      <c r="AG97" s="49"/>
      <c r="AH97" s="49"/>
      <c r="AI97" s="49"/>
      <c r="AJ97" s="49"/>
      <c r="AK97" s="49"/>
      <c r="AL97" s="49"/>
      <c r="AM97" s="49"/>
      <c r="AN97" s="49"/>
      <c r="AO97" s="49"/>
      <c r="AP97" s="49"/>
      <c r="AQ97" s="49"/>
      <c r="AR97" s="49"/>
      <c r="AS97" s="49"/>
      <c r="AT97" s="49"/>
      <c r="AU97" s="49"/>
      <c r="AV97" s="49"/>
      <c r="AW97" s="49"/>
      <c r="AX97" s="49"/>
      <c r="AY97" s="49"/>
      <c r="AZ97" s="49"/>
      <c r="BA97" s="50"/>
    </row>
    <row r="98" spans="2:53" s="20" customFormat="1" ht="13.5" customHeight="1" x14ac:dyDescent="0.2">
      <c r="B98" s="48"/>
      <c r="C98" s="26"/>
      <c r="D98" s="12"/>
      <c r="E98" s="12"/>
      <c r="F98" s="12"/>
      <c r="G98" s="12"/>
      <c r="H98" s="27"/>
      <c r="I98" s="49"/>
      <c r="J98" s="49"/>
      <c r="K98" s="49"/>
      <c r="L98" s="26"/>
      <c r="M98" s="28"/>
      <c r="N98" s="28"/>
      <c r="O98" s="28"/>
      <c r="P98" s="28"/>
      <c r="Q98" s="27"/>
      <c r="R98" s="49"/>
      <c r="S98" s="49"/>
      <c r="T98" s="49"/>
      <c r="U98" s="49"/>
      <c r="V98" s="49"/>
      <c r="W98" s="49"/>
      <c r="X98" s="49"/>
      <c r="Y98" s="49"/>
      <c r="Z98" s="49"/>
      <c r="AA98" s="49"/>
      <c r="AB98" s="49"/>
      <c r="AC98" s="49"/>
      <c r="AD98" s="49"/>
      <c r="AE98" s="49"/>
      <c r="AF98" s="49"/>
      <c r="AG98" s="49"/>
      <c r="AH98" s="49"/>
      <c r="AI98" s="49"/>
      <c r="AJ98" s="49"/>
      <c r="AK98" s="49"/>
      <c r="AL98" s="49"/>
      <c r="AM98" s="49"/>
      <c r="AN98" s="49"/>
      <c r="AO98" s="49"/>
      <c r="AP98" s="49"/>
      <c r="AQ98" s="49"/>
      <c r="AR98" s="49"/>
      <c r="AS98" s="49"/>
      <c r="AT98" s="49"/>
      <c r="AU98" s="49"/>
      <c r="AV98" s="49"/>
      <c r="AW98" s="49"/>
      <c r="AX98" s="49"/>
      <c r="AY98" s="49"/>
      <c r="AZ98" s="49"/>
      <c r="BA98" s="50"/>
    </row>
    <row r="99" spans="2:53" s="20" customFormat="1" ht="13.5" customHeight="1" x14ac:dyDescent="0.2">
      <c r="B99" s="48"/>
      <c r="C99" s="26"/>
      <c r="D99" s="12"/>
      <c r="E99" s="12"/>
      <c r="F99" s="12"/>
      <c r="G99" s="12"/>
      <c r="H99" s="27"/>
      <c r="I99" s="49"/>
      <c r="J99" s="49"/>
      <c r="K99" s="49"/>
      <c r="L99" s="29"/>
      <c r="M99" s="30"/>
      <c r="N99" s="30"/>
      <c r="O99" s="30"/>
      <c r="P99" s="30"/>
      <c r="Q99" s="31"/>
      <c r="R99" s="49"/>
      <c r="S99" s="49"/>
      <c r="T99" s="49"/>
      <c r="U99" s="49"/>
      <c r="V99" s="49"/>
      <c r="W99" s="49"/>
      <c r="X99" s="49"/>
      <c r="Y99" s="49"/>
      <c r="Z99" s="49"/>
      <c r="AA99" s="49"/>
      <c r="AB99" s="49"/>
      <c r="AC99" s="49"/>
      <c r="AD99" s="49"/>
      <c r="AE99" s="49"/>
      <c r="AF99" s="49"/>
      <c r="AG99" s="49"/>
      <c r="AH99" s="49"/>
      <c r="AI99" s="49"/>
      <c r="AJ99" s="49"/>
      <c r="AK99" s="49"/>
      <c r="AL99" s="49"/>
      <c r="AM99" s="49"/>
      <c r="AN99" s="49"/>
      <c r="AO99" s="49"/>
      <c r="AP99" s="49"/>
      <c r="AQ99" s="49"/>
      <c r="AR99" s="49"/>
      <c r="AS99" s="49"/>
      <c r="AT99" s="49"/>
      <c r="AU99" s="49"/>
      <c r="AV99" s="49"/>
      <c r="AW99" s="49"/>
      <c r="AX99" s="49"/>
      <c r="AY99" s="49"/>
      <c r="AZ99" s="49"/>
      <c r="BA99" s="50"/>
    </row>
    <row r="100" spans="2:53" s="20" customFormat="1" ht="13.5" customHeight="1" x14ac:dyDescent="0.2">
      <c r="B100" s="48"/>
      <c r="C100" s="26"/>
      <c r="D100" s="12"/>
      <c r="E100" s="12"/>
      <c r="F100" s="12"/>
      <c r="G100" s="12"/>
      <c r="H100" s="27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  <c r="AA100" s="49"/>
      <c r="AB100" s="49"/>
      <c r="AC100" s="49"/>
      <c r="AD100" s="49"/>
      <c r="AE100" s="49"/>
      <c r="AF100" s="49"/>
      <c r="AG100" s="49"/>
      <c r="AH100" s="49"/>
      <c r="AI100" s="49"/>
      <c r="AJ100" s="49"/>
      <c r="AK100" s="49"/>
      <c r="AL100" s="49"/>
      <c r="AM100" s="49"/>
      <c r="AN100" s="49"/>
      <c r="AO100" s="49"/>
      <c r="AP100" s="49"/>
      <c r="AQ100" s="49"/>
      <c r="AR100" s="49"/>
      <c r="AS100" s="49"/>
      <c r="AT100" s="49"/>
      <c r="AU100" s="49"/>
      <c r="AV100" s="49"/>
      <c r="AW100" s="49"/>
      <c r="AX100" s="49"/>
      <c r="AY100" s="49"/>
      <c r="AZ100" s="49"/>
      <c r="BA100" s="50"/>
    </row>
    <row r="101" spans="2:53" s="20" customFormat="1" ht="13.5" customHeight="1" x14ac:dyDescent="0.2">
      <c r="B101" s="48"/>
      <c r="C101" s="26"/>
      <c r="D101" s="12"/>
      <c r="E101" s="12"/>
      <c r="F101" s="12"/>
      <c r="G101" s="12"/>
      <c r="H101" s="27"/>
      <c r="I101" s="49"/>
      <c r="J101" s="49"/>
      <c r="K101" s="49"/>
      <c r="L101" s="49" t="s">
        <v>166</v>
      </c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 t="s">
        <v>167</v>
      </c>
      <c r="X101" s="49"/>
      <c r="Y101" s="49"/>
      <c r="Z101" s="49"/>
      <c r="AA101" s="49"/>
      <c r="AB101" s="49"/>
      <c r="AC101" s="49"/>
      <c r="AD101" s="49"/>
      <c r="AE101" s="49"/>
      <c r="AF101" s="49"/>
      <c r="AG101" s="49"/>
      <c r="AH101" s="49"/>
      <c r="AI101" s="49"/>
      <c r="AJ101" s="49"/>
      <c r="AK101" s="49"/>
      <c r="AL101" s="49"/>
      <c r="AM101" s="49"/>
      <c r="AN101" s="49"/>
      <c r="AO101" s="49"/>
      <c r="AP101" s="49"/>
      <c r="AQ101" s="49"/>
      <c r="AR101" s="49"/>
      <c r="AS101" s="49"/>
      <c r="AT101" s="49"/>
      <c r="AU101" s="49"/>
      <c r="AV101" s="49"/>
      <c r="AW101" s="49"/>
      <c r="AX101" s="49"/>
      <c r="AY101" s="49"/>
      <c r="AZ101" s="49"/>
      <c r="BA101" s="50"/>
    </row>
    <row r="102" spans="2:53" s="20" customFormat="1" ht="16.5" x14ac:dyDescent="0.2">
      <c r="B102" s="48"/>
      <c r="C102" s="26"/>
      <c r="D102" s="12"/>
      <c r="E102" s="12"/>
      <c r="F102" s="12"/>
      <c r="G102" s="12"/>
      <c r="H102" s="27"/>
      <c r="I102" s="49"/>
      <c r="J102" s="49"/>
      <c r="K102" s="49"/>
      <c r="L102" s="23"/>
      <c r="M102" s="24"/>
      <c r="N102" s="24"/>
      <c r="O102" s="24"/>
      <c r="P102" s="24"/>
      <c r="Q102" s="25"/>
      <c r="R102" s="49"/>
      <c r="S102" s="49"/>
      <c r="T102" s="49"/>
      <c r="U102" s="49"/>
      <c r="V102" s="49"/>
      <c r="W102" s="23"/>
      <c r="X102" s="24"/>
      <c r="Y102" s="24"/>
      <c r="Z102" s="24"/>
      <c r="AA102" s="24"/>
      <c r="AB102" s="25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9"/>
      <c r="AN102" s="49"/>
      <c r="AO102" s="49"/>
      <c r="AP102" s="49"/>
      <c r="AQ102" s="49"/>
      <c r="AR102" s="49"/>
      <c r="AS102" s="49"/>
      <c r="AT102" s="49"/>
      <c r="AU102" s="49"/>
      <c r="AV102" s="49"/>
      <c r="AW102" s="49"/>
      <c r="AX102" s="49"/>
      <c r="AY102" s="49"/>
      <c r="AZ102" s="49"/>
      <c r="BA102" s="50"/>
    </row>
    <row r="103" spans="2:53" s="20" customFormat="1" ht="16.5" x14ac:dyDescent="0.2">
      <c r="B103" s="48"/>
      <c r="C103" s="26" t="s">
        <v>63</v>
      </c>
      <c r="D103" s="12"/>
      <c r="E103" s="12"/>
      <c r="F103" s="12"/>
      <c r="G103" s="12"/>
      <c r="H103" s="27"/>
      <c r="I103" s="49"/>
      <c r="J103" s="49"/>
      <c r="K103" s="49"/>
      <c r="L103" s="26" t="s">
        <v>99</v>
      </c>
      <c r="M103" s="28"/>
      <c r="N103" s="28"/>
      <c r="O103" s="28"/>
      <c r="P103" s="28"/>
      <c r="Q103" s="27"/>
      <c r="R103" s="49"/>
      <c r="S103" s="49"/>
      <c r="T103" s="49"/>
      <c r="U103" s="49"/>
      <c r="V103" s="49"/>
      <c r="W103" s="26"/>
      <c r="X103" s="28"/>
      <c r="Y103" s="28"/>
      <c r="Z103" s="28"/>
      <c r="AA103" s="28"/>
      <c r="AB103" s="27"/>
      <c r="AC103" s="49"/>
      <c r="AD103" s="49"/>
      <c r="AE103" s="49"/>
      <c r="AF103" s="49"/>
      <c r="AG103" s="49"/>
      <c r="AH103" s="49"/>
      <c r="AI103" s="49"/>
      <c r="AJ103" s="49"/>
      <c r="AK103" s="49"/>
      <c r="AL103" s="49"/>
      <c r="AM103" s="49"/>
      <c r="AN103" s="49"/>
      <c r="AO103" s="49"/>
      <c r="AP103" s="49"/>
      <c r="AQ103" s="49"/>
      <c r="AR103" s="49"/>
      <c r="AS103" s="49"/>
      <c r="AT103" s="49"/>
      <c r="AU103" s="49"/>
      <c r="AV103" s="49"/>
      <c r="AW103" s="49"/>
      <c r="AX103" s="49"/>
      <c r="AY103" s="49"/>
      <c r="AZ103" s="49"/>
      <c r="BA103" s="50"/>
    </row>
    <row r="104" spans="2:53" s="20" customFormat="1" ht="16.5" x14ac:dyDescent="0.2">
      <c r="B104" s="48"/>
      <c r="C104" s="26"/>
      <c r="D104" s="12"/>
      <c r="E104" s="12"/>
      <c r="F104" s="12"/>
      <c r="G104" s="12"/>
      <c r="H104" s="27"/>
      <c r="I104" s="49"/>
      <c r="J104" s="49"/>
      <c r="K104" s="49"/>
      <c r="L104" s="26"/>
      <c r="M104" s="28"/>
      <c r="N104" s="28"/>
      <c r="O104" s="28"/>
      <c r="P104" s="28"/>
      <c r="Q104" s="27"/>
      <c r="R104" s="49"/>
      <c r="S104" s="49"/>
      <c r="T104" s="49"/>
      <c r="U104" s="49"/>
      <c r="V104" s="49"/>
      <c r="W104" s="26"/>
      <c r="X104" s="28"/>
      <c r="Y104" s="28"/>
      <c r="Z104" s="28"/>
      <c r="AA104" s="28"/>
      <c r="AB104" s="27"/>
      <c r="AC104" s="49"/>
      <c r="AD104" s="49"/>
      <c r="AE104" s="49"/>
      <c r="AF104" s="49"/>
      <c r="AG104" s="49"/>
      <c r="AH104" s="49"/>
      <c r="AI104" s="49"/>
      <c r="AJ104" s="49"/>
      <c r="AK104" s="49"/>
      <c r="AL104" s="49"/>
      <c r="AM104" s="49"/>
      <c r="AN104" s="49"/>
      <c r="AO104" s="49"/>
      <c r="AP104" s="49"/>
      <c r="AQ104" s="49"/>
      <c r="AR104" s="49"/>
      <c r="AS104" s="49"/>
      <c r="AT104" s="49"/>
      <c r="AU104" s="49"/>
      <c r="AV104" s="49"/>
      <c r="AW104" s="49"/>
      <c r="AX104" s="49"/>
      <c r="AY104" s="49"/>
      <c r="AZ104" s="49"/>
      <c r="BA104" s="50"/>
    </row>
    <row r="105" spans="2:53" s="20" customFormat="1" ht="16.5" x14ac:dyDescent="0.2">
      <c r="B105" s="48"/>
      <c r="C105" s="26"/>
      <c r="D105" s="12"/>
      <c r="E105" s="12"/>
      <c r="F105" s="12"/>
      <c r="G105" s="12"/>
      <c r="H105" s="27"/>
      <c r="I105" s="49"/>
      <c r="J105" s="49"/>
      <c r="K105" s="49"/>
      <c r="L105" s="29"/>
      <c r="M105" s="30"/>
      <c r="N105" s="30"/>
      <c r="O105" s="30"/>
      <c r="P105" s="30"/>
      <c r="Q105" s="31"/>
      <c r="R105" s="49"/>
      <c r="S105" s="49"/>
      <c r="T105" s="49"/>
      <c r="U105" s="49"/>
      <c r="V105" s="49"/>
      <c r="W105" s="29"/>
      <c r="X105" s="30"/>
      <c r="Y105" s="30"/>
      <c r="Z105" s="30"/>
      <c r="AA105" s="30"/>
      <c r="AB105" s="31"/>
      <c r="AC105" s="49"/>
      <c r="AD105" s="49"/>
      <c r="AE105" s="49"/>
      <c r="AF105" s="49"/>
      <c r="AG105" s="49"/>
      <c r="AH105" s="49"/>
      <c r="AI105" s="49"/>
      <c r="AJ105" s="49"/>
      <c r="AK105" s="49"/>
      <c r="AL105" s="49"/>
      <c r="AM105" s="49"/>
      <c r="AN105" s="49"/>
      <c r="AO105" s="49"/>
      <c r="AP105" s="49"/>
      <c r="AQ105" s="49"/>
      <c r="AR105" s="49"/>
      <c r="AS105" s="49"/>
      <c r="AT105" s="49"/>
      <c r="AU105" s="49"/>
      <c r="AV105" s="49"/>
      <c r="AW105" s="49"/>
      <c r="AX105" s="49"/>
      <c r="AY105" s="49"/>
      <c r="AZ105" s="49"/>
      <c r="BA105" s="50"/>
    </row>
    <row r="106" spans="2:53" s="20" customFormat="1" ht="16.5" x14ac:dyDescent="0.2">
      <c r="B106" s="48"/>
      <c r="C106" s="29"/>
      <c r="D106" s="30"/>
      <c r="E106" s="30"/>
      <c r="F106" s="30"/>
      <c r="G106" s="30"/>
      <c r="H106" s="31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  <c r="AA106" s="49"/>
      <c r="AB106" s="49"/>
      <c r="AC106" s="49"/>
      <c r="AD106" s="49"/>
      <c r="AE106" s="49"/>
      <c r="AF106" s="49"/>
      <c r="AG106" s="49"/>
      <c r="AH106" s="49"/>
      <c r="AI106" s="49"/>
      <c r="AJ106" s="49"/>
      <c r="AK106" s="49"/>
      <c r="AL106" s="49"/>
      <c r="AM106" s="49"/>
      <c r="AN106" s="49"/>
      <c r="AO106" s="49"/>
      <c r="AP106" s="49"/>
      <c r="AQ106" s="49"/>
      <c r="AR106" s="49"/>
      <c r="AS106" s="49"/>
      <c r="AT106" s="49"/>
      <c r="AU106" s="49"/>
      <c r="AV106" s="49"/>
      <c r="AW106" s="49"/>
      <c r="AX106" s="49"/>
      <c r="AY106" s="49"/>
      <c r="AZ106" s="49"/>
      <c r="BA106" s="50"/>
    </row>
    <row r="107" spans="2:53" s="20" customFormat="1" ht="16.5" x14ac:dyDescent="0.2">
      <c r="B107" s="48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  <c r="AA107" s="49"/>
      <c r="AB107" s="49"/>
      <c r="AC107" s="49"/>
      <c r="AD107" s="49"/>
      <c r="AE107" s="49"/>
      <c r="AF107" s="49"/>
      <c r="AG107" s="49"/>
      <c r="AH107" s="49"/>
      <c r="AI107" s="49"/>
      <c r="AJ107" s="49"/>
      <c r="AK107" s="49"/>
      <c r="AL107" s="49"/>
      <c r="AM107" s="49"/>
      <c r="AN107" s="49"/>
      <c r="AO107" s="49"/>
      <c r="AP107" s="49"/>
      <c r="AQ107" s="49"/>
      <c r="AR107" s="49"/>
      <c r="AS107" s="49"/>
      <c r="AT107" s="49"/>
      <c r="AU107" s="49"/>
      <c r="AV107" s="49"/>
      <c r="AW107" s="49"/>
      <c r="AX107" s="49"/>
      <c r="AY107" s="49"/>
      <c r="AZ107" s="49"/>
      <c r="BA107" s="50"/>
    </row>
    <row r="108" spans="2:53" s="20" customFormat="1" ht="16.5" x14ac:dyDescent="0.2">
      <c r="B108" s="48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  <c r="AA108" s="49"/>
      <c r="AB108" s="49"/>
      <c r="AC108" s="49"/>
      <c r="AD108" s="49"/>
      <c r="AE108" s="49"/>
      <c r="AF108" s="49"/>
      <c r="AG108" s="49"/>
      <c r="AH108" s="49"/>
      <c r="AI108" s="49"/>
      <c r="AJ108" s="49"/>
      <c r="AK108" s="49"/>
      <c r="AL108" s="49"/>
      <c r="AM108" s="49"/>
      <c r="AN108" s="49"/>
      <c r="AO108" s="49"/>
      <c r="AP108" s="49"/>
      <c r="AQ108" s="49"/>
      <c r="AR108" s="49"/>
      <c r="AS108" s="49"/>
      <c r="AT108" s="49"/>
      <c r="AU108" s="49"/>
      <c r="AV108" s="49"/>
      <c r="AW108" s="49"/>
      <c r="AX108" s="49"/>
      <c r="AY108" s="49"/>
      <c r="AZ108" s="49"/>
      <c r="BA108" s="50"/>
    </row>
    <row r="109" spans="2:53" s="20" customFormat="1" ht="16.5" x14ac:dyDescent="0.2">
      <c r="B109" s="48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  <c r="AA109" s="49"/>
      <c r="AB109" s="49"/>
      <c r="AC109" s="49"/>
      <c r="AD109" s="49"/>
      <c r="AE109" s="49"/>
      <c r="AF109" s="49"/>
      <c r="AG109" s="49"/>
      <c r="AH109" s="49"/>
      <c r="AI109" s="49"/>
      <c r="AJ109" s="49"/>
      <c r="AK109" s="49"/>
      <c r="AL109" s="49"/>
      <c r="AM109" s="49"/>
      <c r="AN109" s="49"/>
      <c r="AO109" s="49"/>
      <c r="AP109" s="49"/>
      <c r="AQ109" s="49"/>
      <c r="AR109" s="49"/>
      <c r="AS109" s="49"/>
      <c r="AT109" s="49"/>
      <c r="AU109" s="49"/>
      <c r="AV109" s="49"/>
      <c r="AW109" s="49"/>
      <c r="AX109" s="49"/>
      <c r="AY109" s="49"/>
      <c r="AZ109" s="49"/>
      <c r="BA109" s="50"/>
    </row>
    <row r="110" spans="2:53" s="20" customFormat="1" ht="16.5" x14ac:dyDescent="0.2">
      <c r="B110" s="48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  <c r="AA110" s="49"/>
      <c r="AB110" s="49"/>
      <c r="AC110" s="49"/>
      <c r="AD110" s="49"/>
      <c r="AE110" s="49"/>
      <c r="AF110" s="49"/>
      <c r="AG110" s="49"/>
      <c r="AH110" s="49"/>
      <c r="AI110" s="49"/>
      <c r="AJ110" s="49"/>
      <c r="AK110" s="49"/>
      <c r="AL110" s="49"/>
      <c r="AM110" s="49"/>
      <c r="AN110" s="49"/>
      <c r="AO110" s="49"/>
      <c r="AP110" s="49"/>
      <c r="AQ110" s="49"/>
      <c r="AR110" s="49"/>
      <c r="AS110" s="49"/>
      <c r="AT110" s="49"/>
      <c r="AU110" s="49"/>
      <c r="AV110" s="49"/>
      <c r="AW110" s="49"/>
      <c r="AX110" s="49"/>
      <c r="AY110" s="49"/>
      <c r="AZ110" s="49"/>
      <c r="BA110" s="50"/>
    </row>
    <row r="111" spans="2:53" s="20" customFormat="1" ht="16.5" x14ac:dyDescent="0.2">
      <c r="B111" s="51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52"/>
      <c r="AB111" s="52"/>
      <c r="AC111" s="52"/>
      <c r="AD111" s="52"/>
      <c r="AE111" s="52"/>
      <c r="AF111" s="52"/>
      <c r="AG111" s="52"/>
      <c r="AH111" s="52"/>
      <c r="AI111" s="52"/>
      <c r="AJ111" s="52"/>
      <c r="AK111" s="52"/>
      <c r="AL111" s="52"/>
      <c r="AM111" s="52"/>
      <c r="AN111" s="52"/>
      <c r="AO111" s="52"/>
      <c r="AP111" s="52"/>
      <c r="AQ111" s="52"/>
      <c r="AR111" s="52"/>
      <c r="AS111" s="52"/>
      <c r="AT111" s="52"/>
      <c r="AU111" s="52"/>
      <c r="AV111" s="52"/>
      <c r="AW111" s="52"/>
      <c r="AX111" s="52"/>
      <c r="AY111" s="52"/>
      <c r="AZ111" s="52"/>
      <c r="BA111" s="53"/>
    </row>
    <row r="112" spans="2:53" s="20" customFormat="1" ht="16.5" x14ac:dyDescent="0.2">
      <c r="B112" s="54" t="s">
        <v>52</v>
      </c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  <c r="AA112" s="55"/>
      <c r="AB112" s="55"/>
      <c r="AC112" s="55"/>
      <c r="AD112" s="55"/>
      <c r="AE112" s="55"/>
      <c r="AF112" s="55"/>
      <c r="AG112" s="55"/>
      <c r="AH112" s="55"/>
      <c r="AI112" s="55"/>
      <c r="AJ112" s="55"/>
      <c r="AK112" s="55"/>
      <c r="AL112" s="55"/>
      <c r="AM112" s="55"/>
      <c r="AN112" s="55"/>
      <c r="AO112" s="55"/>
      <c r="AP112" s="55"/>
      <c r="AQ112" s="55"/>
      <c r="AR112" s="55"/>
      <c r="AS112" s="55"/>
      <c r="AT112" s="55"/>
      <c r="AU112" s="55"/>
      <c r="AV112" s="55"/>
      <c r="AW112" s="55"/>
      <c r="AX112" s="55"/>
      <c r="AY112" s="55"/>
      <c r="AZ112" s="55"/>
      <c r="BA112" s="56"/>
    </row>
    <row r="113" spans="2:53" s="20" customFormat="1" ht="16.5" x14ac:dyDescent="0.2">
      <c r="B113" s="57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  <c r="AA113" s="55"/>
      <c r="AB113" s="55"/>
      <c r="AC113" s="55"/>
      <c r="AD113" s="55"/>
      <c r="AE113" s="55"/>
      <c r="AF113" s="55"/>
      <c r="AG113" s="55"/>
      <c r="AH113" s="55"/>
      <c r="AI113" s="55"/>
      <c r="AJ113" s="55"/>
      <c r="AK113" s="55"/>
      <c r="AL113" s="55"/>
      <c r="AM113" s="55"/>
      <c r="AN113" s="55"/>
      <c r="AO113" s="55"/>
      <c r="AP113" s="55"/>
      <c r="AQ113" s="55"/>
      <c r="AR113" s="55"/>
      <c r="AS113" s="55"/>
      <c r="AT113" s="55"/>
      <c r="AU113" s="55"/>
      <c r="AV113" s="55"/>
      <c r="AW113" s="55"/>
      <c r="AX113" s="55"/>
      <c r="AY113" s="55"/>
      <c r="AZ113" s="55"/>
      <c r="BA113" s="56"/>
    </row>
    <row r="114" spans="2:53" s="20" customFormat="1" ht="16.5" x14ac:dyDescent="0.2">
      <c r="B114" s="57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  <c r="AA114" s="55"/>
      <c r="AB114" s="55"/>
      <c r="AC114" s="55"/>
      <c r="AD114" s="55"/>
      <c r="AE114" s="55"/>
      <c r="AF114" s="55"/>
      <c r="AG114" s="55"/>
      <c r="AH114" s="55"/>
      <c r="AI114" s="55"/>
      <c r="AJ114" s="55"/>
      <c r="AK114" s="55"/>
      <c r="AL114" s="55"/>
      <c r="AM114" s="55"/>
      <c r="AN114" s="55"/>
      <c r="AO114" s="55"/>
      <c r="AP114" s="55"/>
      <c r="AQ114" s="55"/>
      <c r="AR114" s="55"/>
      <c r="AS114" s="55"/>
      <c r="AT114" s="55"/>
      <c r="AU114" s="55"/>
      <c r="AV114" s="55"/>
      <c r="AW114" s="55"/>
      <c r="AX114" s="55"/>
      <c r="AY114" s="55"/>
      <c r="AZ114" s="55"/>
      <c r="BA114" s="56"/>
    </row>
    <row r="115" spans="2:53" s="20" customFormat="1" ht="16.5" x14ac:dyDescent="0.2">
      <c r="B115" s="57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  <c r="AA115" s="55"/>
      <c r="AB115" s="55"/>
      <c r="AC115" s="55"/>
      <c r="AD115" s="55"/>
      <c r="AE115" s="55"/>
      <c r="AF115" s="55"/>
      <c r="AG115" s="55"/>
      <c r="AH115" s="55"/>
      <c r="AI115" s="55"/>
      <c r="AJ115" s="55"/>
      <c r="AK115" s="55"/>
      <c r="AL115" s="55"/>
      <c r="AM115" s="55"/>
      <c r="AN115" s="55"/>
      <c r="AO115" s="55"/>
      <c r="AP115" s="55"/>
      <c r="AQ115" s="55"/>
      <c r="AR115" s="55"/>
      <c r="AS115" s="55"/>
      <c r="AT115" s="55"/>
      <c r="AU115" s="55"/>
      <c r="AV115" s="55"/>
      <c r="AW115" s="55"/>
      <c r="AX115" s="55"/>
      <c r="AY115" s="55"/>
      <c r="AZ115" s="55"/>
      <c r="BA115" s="56"/>
    </row>
    <row r="116" spans="2:53" s="20" customFormat="1" ht="16.5" x14ac:dyDescent="0.2">
      <c r="B116" s="57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  <c r="AA116" s="55"/>
      <c r="AB116" s="55"/>
      <c r="AC116" s="55"/>
      <c r="AD116" s="55"/>
      <c r="AE116" s="55"/>
      <c r="AF116" s="55"/>
      <c r="AG116" s="55"/>
      <c r="AH116" s="55"/>
      <c r="AI116" s="55"/>
      <c r="AJ116" s="55"/>
      <c r="AK116" s="55"/>
      <c r="AL116" s="55"/>
      <c r="AM116" s="55"/>
      <c r="AN116" s="55"/>
      <c r="AO116" s="55"/>
      <c r="AP116" s="55"/>
      <c r="AQ116" s="55"/>
      <c r="AR116" s="55"/>
      <c r="AS116" s="55"/>
      <c r="AT116" s="55"/>
      <c r="AU116" s="55"/>
      <c r="AV116" s="55"/>
      <c r="AW116" s="55"/>
      <c r="AX116" s="55"/>
      <c r="AY116" s="55"/>
      <c r="AZ116" s="55"/>
      <c r="BA116" s="56"/>
    </row>
    <row r="117" spans="2:53" s="20" customFormat="1" ht="16.5" x14ac:dyDescent="0.2">
      <c r="B117" s="57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  <c r="AA117" s="55"/>
      <c r="AB117" s="55"/>
      <c r="AC117" s="55"/>
      <c r="AD117" s="55"/>
      <c r="AE117" s="55"/>
      <c r="AF117" s="55"/>
      <c r="AG117" s="55"/>
      <c r="AH117" s="55"/>
      <c r="AI117" s="55"/>
      <c r="AJ117" s="55"/>
      <c r="AK117" s="55"/>
      <c r="AL117" s="55"/>
      <c r="AM117" s="55"/>
      <c r="AN117" s="55"/>
      <c r="AO117" s="55"/>
      <c r="AP117" s="55"/>
      <c r="AQ117" s="55"/>
      <c r="AR117" s="55"/>
      <c r="AS117" s="55"/>
      <c r="AT117" s="55"/>
      <c r="AU117" s="55"/>
      <c r="AV117" s="55"/>
      <c r="AW117" s="55"/>
      <c r="AX117" s="55"/>
      <c r="AY117" s="55"/>
      <c r="AZ117" s="55"/>
      <c r="BA117" s="56"/>
    </row>
    <row r="118" spans="2:53" s="20" customFormat="1" ht="16.5" x14ac:dyDescent="0.2">
      <c r="B118" s="57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  <c r="AA118" s="55"/>
      <c r="AB118" s="55"/>
      <c r="AC118" s="55"/>
      <c r="AD118" s="55"/>
      <c r="AE118" s="55"/>
      <c r="AF118" s="55"/>
      <c r="AG118" s="55"/>
      <c r="AH118" s="55"/>
      <c r="AI118" s="55"/>
      <c r="AJ118" s="55"/>
      <c r="AK118" s="55"/>
      <c r="AL118" s="55"/>
      <c r="AM118" s="55"/>
      <c r="AN118" s="55"/>
      <c r="AO118" s="55"/>
      <c r="AP118" s="55"/>
      <c r="AQ118" s="55"/>
      <c r="AR118" s="55"/>
      <c r="AS118" s="55"/>
      <c r="AT118" s="55"/>
      <c r="AU118" s="55"/>
      <c r="AV118" s="55"/>
      <c r="AW118" s="55"/>
      <c r="AX118" s="55"/>
      <c r="AY118" s="55"/>
      <c r="AZ118" s="55"/>
      <c r="BA118" s="56"/>
    </row>
    <row r="119" spans="2:53" s="20" customFormat="1" ht="16.5" x14ac:dyDescent="0.2">
      <c r="B119" s="57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  <c r="AA119" s="55"/>
      <c r="AB119" s="55"/>
      <c r="AC119" s="55"/>
      <c r="AD119" s="55"/>
      <c r="AE119" s="55"/>
      <c r="AF119" s="55"/>
      <c r="AG119" s="55"/>
      <c r="AH119" s="55"/>
      <c r="AI119" s="55"/>
      <c r="AJ119" s="55"/>
      <c r="AK119" s="55"/>
      <c r="AL119" s="55"/>
      <c r="AM119" s="55"/>
      <c r="AN119" s="55"/>
      <c r="AO119" s="55"/>
      <c r="AP119" s="55"/>
      <c r="AQ119" s="55"/>
      <c r="AR119" s="55"/>
      <c r="AS119" s="55"/>
      <c r="AT119" s="55"/>
      <c r="AU119" s="55"/>
      <c r="AV119" s="55"/>
      <c r="AW119" s="55"/>
      <c r="AX119" s="55"/>
      <c r="AY119" s="55"/>
      <c r="AZ119" s="55"/>
      <c r="BA119" s="56"/>
    </row>
    <row r="120" spans="2:53" s="20" customFormat="1" ht="16.5" x14ac:dyDescent="0.2">
      <c r="B120" s="57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  <c r="AA120" s="55"/>
      <c r="AB120" s="55"/>
      <c r="AC120" s="55"/>
      <c r="AD120" s="55"/>
      <c r="AE120" s="55"/>
      <c r="AF120" s="55"/>
      <c r="AG120" s="55"/>
      <c r="AH120" s="55"/>
      <c r="AI120" s="55"/>
      <c r="AJ120" s="55"/>
      <c r="AK120" s="55"/>
      <c r="AL120" s="55"/>
      <c r="AM120" s="55"/>
      <c r="AN120" s="55"/>
      <c r="AO120" s="55"/>
      <c r="AP120" s="55"/>
      <c r="AQ120" s="55"/>
      <c r="AR120" s="55"/>
      <c r="AS120" s="55"/>
      <c r="AT120" s="55"/>
      <c r="AU120" s="55"/>
      <c r="AV120" s="55"/>
      <c r="AW120" s="55"/>
      <c r="AX120" s="55"/>
      <c r="AY120" s="55"/>
      <c r="AZ120" s="55"/>
      <c r="BA120" s="56"/>
    </row>
    <row r="121" spans="2:53" s="20" customFormat="1" ht="16.5" x14ac:dyDescent="0.2">
      <c r="B121" s="57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  <c r="AA121" s="55"/>
      <c r="AB121" s="55"/>
      <c r="AC121" s="55"/>
      <c r="AD121" s="55"/>
      <c r="AE121" s="55"/>
      <c r="AF121" s="55"/>
      <c r="AG121" s="55"/>
      <c r="AH121" s="55"/>
      <c r="AI121" s="55"/>
      <c r="AJ121" s="55"/>
      <c r="AK121" s="55"/>
      <c r="AL121" s="55"/>
      <c r="AM121" s="55"/>
      <c r="AN121" s="55"/>
      <c r="AO121" s="55"/>
      <c r="AP121" s="55"/>
      <c r="AQ121" s="55"/>
      <c r="AR121" s="55"/>
      <c r="AS121" s="55"/>
      <c r="AT121" s="55"/>
      <c r="AU121" s="55"/>
      <c r="AV121" s="55"/>
      <c r="AW121" s="55"/>
      <c r="AX121" s="55"/>
      <c r="AY121" s="55"/>
      <c r="AZ121" s="55"/>
      <c r="BA121" s="56"/>
    </row>
    <row r="122" spans="2:53" s="20" customFormat="1" ht="16.5" x14ac:dyDescent="0.2">
      <c r="B122" s="58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  <c r="AA122" s="59"/>
      <c r="AB122" s="59"/>
      <c r="AC122" s="59"/>
      <c r="AD122" s="59"/>
      <c r="AE122" s="59"/>
      <c r="AF122" s="59"/>
      <c r="AG122" s="59"/>
      <c r="AH122" s="59"/>
      <c r="AI122" s="59"/>
      <c r="AJ122" s="59"/>
      <c r="AK122" s="59"/>
      <c r="AL122" s="59"/>
      <c r="AM122" s="59"/>
      <c r="AN122" s="59"/>
      <c r="AO122" s="59"/>
      <c r="AP122" s="59"/>
      <c r="AQ122" s="59"/>
      <c r="AR122" s="59"/>
      <c r="AS122" s="59"/>
      <c r="AT122" s="59"/>
      <c r="AU122" s="59"/>
      <c r="AV122" s="59"/>
      <c r="AW122" s="59"/>
      <c r="AX122" s="59"/>
      <c r="AY122" s="59"/>
      <c r="AZ122" s="59"/>
      <c r="BA122" s="60"/>
    </row>
    <row r="123" spans="2:53" s="10" customFormat="1" x14ac:dyDescent="0.2"/>
    <row r="124" spans="2:53" s="10" customFormat="1" x14ac:dyDescent="0.2"/>
  </sheetData>
  <mergeCells count="23">
    <mergeCell ref="B8:BA8"/>
    <mergeCell ref="AV2:BA2"/>
    <mergeCell ref="B3:G3"/>
    <mergeCell ref="H3:L3"/>
    <mergeCell ref="M3:S3"/>
    <mergeCell ref="T3:AF3"/>
    <mergeCell ref="AJ3:AL3"/>
    <mergeCell ref="AM3:AR3"/>
    <mergeCell ref="AS3:AU3"/>
    <mergeCell ref="AV3:BA3"/>
    <mergeCell ref="B2:G2"/>
    <mergeCell ref="H2:L2"/>
    <mergeCell ref="M2:S2"/>
    <mergeCell ref="T2:AF2"/>
    <mergeCell ref="AS2:AU2"/>
    <mergeCell ref="AM4:AR4"/>
    <mergeCell ref="AS4:AU4"/>
    <mergeCell ref="AV4:BA4"/>
    <mergeCell ref="B4:G4"/>
    <mergeCell ref="H4:L4"/>
    <mergeCell ref="M4:S4"/>
    <mergeCell ref="T4:AF4"/>
    <mergeCell ref="AJ4:AL4"/>
  </mergeCells>
  <phoneticPr fontId="3"/>
  <pageMargins left="0.39370078740157483" right="0.39370078740157483" top="0.59055118110236227" bottom="0.59055118110236227" header="0.31496062992125984" footer="0.31496062992125984"/>
  <pageSetup paperSize="9" scale="89" orientation="landscape" r:id="rId1"/>
  <headerFooter>
    <oddFooter>&amp;P / &amp;N ページ</oddFooter>
  </headerFooter>
  <rowBreaks count="3" manualBreakCount="3">
    <brk id="33" max="53" man="1"/>
    <brk id="63" max="53" man="1"/>
    <brk id="91" max="5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9</vt:i4>
      </vt:variant>
      <vt:variant>
        <vt:lpstr>名前付き一覧</vt:lpstr>
      </vt:variant>
      <vt:variant>
        <vt:i4>7</vt:i4>
      </vt:variant>
    </vt:vector>
  </HeadingPairs>
  <TitlesOfParts>
    <vt:vector size="16" baseType="lpstr">
      <vt:lpstr>表紙</vt:lpstr>
      <vt:lpstr>改訂履歴</vt:lpstr>
      <vt:lpstr>画面一覧</vt:lpstr>
      <vt:lpstr>イベント一覧</vt:lpstr>
      <vt:lpstr>API一覧</vt:lpstr>
      <vt:lpstr>元データ</vt:lpstr>
      <vt:lpstr>画面・イベント・API紐づけ資料</vt:lpstr>
      <vt:lpstr>API呼び出し画面</vt:lpstr>
      <vt:lpstr>画面遷移図</vt:lpstr>
      <vt:lpstr>API一覧!Print_Area</vt:lpstr>
      <vt:lpstr>イベント一覧!Print_Area</vt:lpstr>
      <vt:lpstr>画面一覧!Print_Area</vt:lpstr>
      <vt:lpstr>画面遷移図!Print_Area</vt:lpstr>
      <vt:lpstr>改訂履歴!Print_Area</vt:lpstr>
      <vt:lpstr>元データ!Print_Area</vt:lpstr>
      <vt:lpstr>表紙!Print_Area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2021-11-29T14:53:54Z</dcterms:modified>
  <cp:category/>
  <cp:contentStatus/>
</cp:coreProperties>
</file>