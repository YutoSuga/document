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801"/>
  <workbookPr filterPrivacy="1"/>
  <xr:revisionPtr revIDLastSave="0" documentId="13_ncr:1_{A43A253D-3160-4403-A106-E9060E3C2C06}" xr6:coauthVersionLast="46" xr6:coauthVersionMax="47" xr10:uidLastSave="{00000000-0000-0000-0000-000000000000}"/>
  <bookViews>
    <workbookView xWindow="-110" yWindow="-110" windowWidth="18460" windowHeight="12220" tabRatio="825" firstSheet="6" activeTab="9" xr2:uid="{00000000-000D-0000-FFFF-FFFF00000000}"/>
  </bookViews>
  <sheets>
    <sheet name="表紙" sheetId="9" r:id="rId1"/>
    <sheet name="改訂履歴" sheetId="8" r:id="rId2"/>
    <sheet name="画面説明" sheetId="34" r:id="rId3"/>
    <sheet name="画面レイアウト_未ログイン" sheetId="19" r:id="rId4"/>
    <sheet name="画面レイアウト_ログイン時" sheetId="29" r:id="rId5"/>
    <sheet name="画面レイアウト_ユーザーメニュー" sheetId="27" r:id="rId6"/>
    <sheet name="画面レイアウト_カード詳細検索" sheetId="28" r:id="rId7"/>
    <sheet name="画面項目一覧" sheetId="20" r:id="rId8"/>
    <sheet name="画面表示制御" sheetId="32" r:id="rId9"/>
    <sheet name="イベント定義" sheetId="40" r:id="rId10"/>
    <sheet name="BSPSFRPK01_BS01_共通エリア初期表示処理" sheetId="39" r:id="rId11"/>
    <sheet name="BPSBCPK0102_ログアウト処理" sheetId="37" r:id="rId12"/>
    <sheet name="BPSBCPK0103_カード検索処理" sheetId="38" r:id="rId13"/>
  </sheets>
  <definedNames>
    <definedName name="_xlnm._FilterDatabase" localSheetId="9" hidden="1">イベント定義!$B$8:$J$8</definedName>
    <definedName name="_xlnm._FilterDatabase" localSheetId="7" hidden="1">画面項目一覧!$B$11:$R$11</definedName>
    <definedName name="_xlnm._FilterDatabase" localSheetId="8" hidden="1">画面表示制御!$A$14:$L$14</definedName>
    <definedName name="_xlnm.Print_Area" localSheetId="11">BPSBCPK0102_ログアウト処理!$A$1:$BB$64</definedName>
    <definedName name="_xlnm.Print_Area" localSheetId="12">BPSBCPK0103_カード検索処理!$A$1:$BB$97</definedName>
    <definedName name="_xlnm.Print_Area" localSheetId="10">BSPSFRPK01_BS01_共通エリア初期表示処理!$A$1:$BB$88</definedName>
    <definedName name="_xlnm.Print_Area" localSheetId="6">画面レイアウト_カード詳細検索!$A$1:$BB$42</definedName>
    <definedName name="_xlnm.Print_Area" localSheetId="5">画面レイアウト_ユーザーメニュー!$A$1:$BB$42</definedName>
    <definedName name="_xlnm.Print_Area" localSheetId="4">画面レイアウト_ログイン時!$A$1:$BB$52</definedName>
    <definedName name="_xlnm.Print_Area" localSheetId="3">画面レイアウト_未ログイン!$A$1:$BB$42</definedName>
    <definedName name="_xlnm.Print_Area" localSheetId="7">画面項目一覧!$A$1:$Q$55</definedName>
    <definedName name="_xlnm.Print_Area" localSheetId="2">画面説明!$A$1:$BB$14</definedName>
    <definedName name="_xlnm.Print_Area" localSheetId="8">画面表示制御!$A$1:$M$57</definedName>
    <definedName name="_xlnm.Print_Area" localSheetId="1">改訂履歴!$A$1:$BB$41</definedName>
    <definedName name="_xlnm.Print_Area" localSheetId="0">表紙!$A$1:$AG$24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39" l="1"/>
  <c r="T2" i="39"/>
  <c r="AV2" i="39"/>
  <c r="H3" i="39"/>
  <c r="T3" i="39"/>
  <c r="AM3" i="39"/>
  <c r="AV3" i="39"/>
  <c r="H4" i="39"/>
  <c r="T4" i="39"/>
  <c r="AM4" i="39"/>
  <c r="AV4" i="39"/>
  <c r="H4" i="40"/>
  <c r="I4" i="32"/>
  <c r="J4" i="40"/>
  <c r="K4" i="32"/>
  <c r="J2" i="40"/>
  <c r="J3" i="40"/>
  <c r="K3" i="32"/>
  <c r="H3" i="40"/>
  <c r="I3" i="32"/>
  <c r="L4" i="20"/>
  <c r="AM4" i="28"/>
  <c r="L3" i="20"/>
  <c r="AM3" i="28"/>
  <c r="E4" i="40"/>
  <c r="C4" i="40"/>
  <c r="E3" i="40"/>
  <c r="C3" i="40"/>
  <c r="E2" i="40"/>
  <c r="C2" i="40"/>
  <c r="E4" i="32"/>
  <c r="C4" i="32"/>
  <c r="E3" i="32"/>
  <c r="C3" i="32"/>
  <c r="K2" i="32"/>
  <c r="E2" i="32"/>
  <c r="C2" i="32"/>
  <c r="F4" i="20"/>
  <c r="T4" i="28"/>
  <c r="F3" i="20"/>
  <c r="T3" i="28"/>
  <c r="F2" i="20"/>
  <c r="T2" i="28"/>
  <c r="T4" i="38"/>
  <c r="H4" i="38"/>
  <c r="T3" i="38"/>
  <c r="H3" i="38"/>
  <c r="T2" i="38"/>
  <c r="H2" i="38"/>
  <c r="T4" i="37"/>
  <c r="H4" i="37"/>
  <c r="T3" i="37"/>
  <c r="H3" i="37"/>
  <c r="T2" i="37"/>
  <c r="H2" i="37"/>
  <c r="T4" i="34"/>
  <c r="H4" i="34"/>
  <c r="T3" i="34"/>
  <c r="H3" i="34"/>
  <c r="T2" i="34"/>
  <c r="H2" i="34"/>
  <c r="N11" i="9"/>
  <c r="AM4" i="38"/>
  <c r="AM4" i="37"/>
  <c r="AM4" i="34"/>
  <c r="N14" i="9"/>
  <c r="N12" i="9"/>
  <c r="N10" i="9"/>
  <c r="AV2" i="8"/>
  <c r="H2" i="8"/>
  <c r="T3" i="8"/>
  <c r="T2" i="8"/>
  <c r="AM3" i="38"/>
  <c r="AM3" i="37"/>
  <c r="AM3" i="34"/>
  <c r="AV2" i="38"/>
  <c r="AV2" i="37"/>
  <c r="AV2" i="34"/>
  <c r="N13" i="9"/>
  <c r="AM3" i="8"/>
  <c r="AV4" i="8"/>
  <c r="AV4" i="38"/>
  <c r="AV4" i="37"/>
  <c r="AV4" i="34"/>
  <c r="D4" i="20"/>
  <c r="D3" i="20"/>
  <c r="D2" i="20"/>
  <c r="H4" i="28"/>
  <c r="H3" i="28"/>
  <c r="H2" i="28"/>
  <c r="T4" i="27"/>
  <c r="H4" i="27"/>
  <c r="T3" i="27"/>
  <c r="H3" i="27"/>
  <c r="T2" i="27"/>
  <c r="H2" i="27"/>
  <c r="T4" i="29"/>
  <c r="H4" i="29"/>
  <c r="T3" i="29"/>
  <c r="H3" i="29"/>
  <c r="T2" i="29"/>
  <c r="H2" i="29"/>
  <c r="AM4" i="19"/>
  <c r="T4" i="8"/>
  <c r="H4" i="8"/>
  <c r="H3" i="8"/>
  <c r="T4" i="19"/>
  <c r="T3" i="19"/>
  <c r="T2" i="19"/>
  <c r="H4" i="19"/>
  <c r="H3" i="19"/>
  <c r="H2" i="19"/>
  <c r="AM3" i="19"/>
  <c r="AM3" i="27"/>
  <c r="AM3" i="29"/>
  <c r="N2" i="20"/>
  <c r="AV2" i="28"/>
  <c r="AV2" i="27"/>
  <c r="AV2" i="29"/>
  <c r="AM4" i="27"/>
  <c r="AM4" i="29"/>
  <c r="AM4" i="8"/>
  <c r="AV2" i="19"/>
  <c r="AV4" i="19"/>
  <c r="N4" i="20"/>
  <c r="AV4" i="28"/>
  <c r="AV4" i="27"/>
  <c r="AV4" i="29"/>
  <c r="AV3" i="28" l="1"/>
  <c r="AV3" i="19"/>
  <c r="AV3" i="29"/>
  <c r="AV3" i="34"/>
  <c r="AV3" i="27"/>
  <c r="AV3" i="37"/>
  <c r="N3" i="20"/>
  <c r="AV3" i="8"/>
  <c r="AV3" i="38"/>
</calcChain>
</file>

<file path=xl/sharedStrings.xml><?xml version="1.0" encoding="utf-8"?>
<sst xmlns="http://schemas.openxmlformats.org/spreadsheetml/2006/main" count="1481" uniqueCount="361">
  <si>
    <t>画面設計書</t>
    <rPh sb="0" eb="2">
      <t>ガメン</t>
    </rPh>
    <rPh sb="2" eb="5">
      <t>セッケイショ</t>
    </rPh>
    <phoneticPr fontId="3"/>
  </si>
  <si>
    <t>システムID</t>
  </si>
  <si>
    <t>システム名</t>
  </si>
  <si>
    <t>バトルポータルシュミレーター</t>
  </si>
  <si>
    <t>サブシステムID</t>
  </si>
  <si>
    <t>PK</t>
  </si>
  <si>
    <t>サブシステム名</t>
  </si>
  <si>
    <t>ポータル</t>
  </si>
  <si>
    <t>画面ID</t>
  </si>
  <si>
    <t>画面名</t>
  </si>
  <si>
    <t>共通エリア</t>
    <rPh sb="0" eb="2">
      <t>キョウツウ</t>
    </rPh>
    <phoneticPr fontId="3"/>
  </si>
  <si>
    <t>作成者</t>
    <rPh sb="0" eb="3">
      <t>サクセイシャ</t>
    </rPh>
    <phoneticPr fontId="3"/>
  </si>
  <si>
    <t>作成日</t>
    <rPh sb="0" eb="3">
      <t>サクセイビ</t>
    </rPh>
    <phoneticPr fontId="3"/>
  </si>
  <si>
    <t>更新者</t>
    <rPh sb="0" eb="2">
      <t>コウシン</t>
    </rPh>
    <rPh sb="2" eb="3">
      <t>シャ</t>
    </rPh>
    <phoneticPr fontId="3"/>
  </si>
  <si>
    <t>更新日</t>
    <rPh sb="0" eb="2">
      <t>コウシン</t>
    </rPh>
    <rPh sb="2" eb="3">
      <t>ビ</t>
    </rPh>
    <phoneticPr fontId="3"/>
  </si>
  <si>
    <t>版数</t>
    <rPh sb="0" eb="2">
      <t>ハンスウ</t>
    </rPh>
    <phoneticPr fontId="3"/>
  </si>
  <si>
    <t>改訂履歴</t>
    <rPh sb="0" eb="2">
      <t>カイテイ</t>
    </rPh>
    <rPh sb="2" eb="4">
      <t>リレキ</t>
    </rPh>
    <phoneticPr fontId="6"/>
  </si>
  <si>
    <t>版数</t>
    <rPh sb="0" eb="2">
      <t>ハンスウ</t>
    </rPh>
    <phoneticPr fontId="6"/>
  </si>
  <si>
    <t>改定日</t>
    <rPh sb="0" eb="3">
      <t>カイテイビ</t>
    </rPh>
    <phoneticPr fontId="6"/>
  </si>
  <si>
    <t>改定シート</t>
    <rPh sb="0" eb="2">
      <t>カイテイ</t>
    </rPh>
    <phoneticPr fontId="6"/>
  </si>
  <si>
    <t>改定内容</t>
    <rPh sb="0" eb="4">
      <t>カイテイナイヨウ</t>
    </rPh>
    <phoneticPr fontId="6"/>
  </si>
  <si>
    <t>担当</t>
    <rPh sb="0" eb="2">
      <t>タントウ</t>
    </rPh>
    <phoneticPr fontId="6"/>
  </si>
  <si>
    <t>全般</t>
    <rPh sb="0" eb="2">
      <t>ゼンパン</t>
    </rPh>
    <phoneticPr fontId="6"/>
  </si>
  <si>
    <t>新規作成</t>
    <rPh sb="0" eb="2">
      <t>シンキ</t>
    </rPh>
    <rPh sb="2" eb="4">
      <t>サクセイ</t>
    </rPh>
    <phoneticPr fontId="6"/>
  </si>
  <si>
    <t>須賀</t>
    <rPh sb="0" eb="2">
      <t>スガ</t>
    </rPh>
    <phoneticPr fontId="6"/>
  </si>
  <si>
    <t>画面説明</t>
    <rPh sb="0" eb="2">
      <t>ガメン</t>
    </rPh>
    <rPh sb="2" eb="4">
      <t>セツメイ</t>
    </rPh>
    <phoneticPr fontId="3"/>
  </si>
  <si>
    <t>◆画面概要</t>
    <rPh sb="1" eb="3">
      <t>ガメン</t>
    </rPh>
    <rPh sb="3" eb="5">
      <t>ガイヨウ</t>
    </rPh>
    <phoneticPr fontId="3"/>
  </si>
  <si>
    <t>メイン画面から共通のヘッダー、フッター、カード検索バーを呼び出す。</t>
    <rPh sb="3" eb="5">
      <t>ガメン</t>
    </rPh>
    <rPh sb="28" eb="29">
      <t>ヨ</t>
    </rPh>
    <rPh sb="30" eb="31">
      <t>ダ</t>
    </rPh>
    <phoneticPr fontId="3"/>
  </si>
  <si>
    <t>メイン画面が切り替わる度に、メイン画面から呼び出される。</t>
    <rPh sb="3" eb="5">
      <t>ガメン</t>
    </rPh>
    <rPh sb="6" eb="7">
      <t>キ</t>
    </rPh>
    <rPh sb="8" eb="9">
      <t>カ</t>
    </rPh>
    <rPh sb="11" eb="12">
      <t>タビ</t>
    </rPh>
    <rPh sb="17" eb="19">
      <t>ガメン</t>
    </rPh>
    <rPh sb="21" eb="22">
      <t>ヨ</t>
    </rPh>
    <rPh sb="23" eb="24">
      <t>ダ</t>
    </rPh>
    <phoneticPr fontId="3"/>
  </si>
  <si>
    <t>◆画面遷移フロー</t>
    <rPh sb="1" eb="3">
      <t>ガメン</t>
    </rPh>
    <rPh sb="3" eb="5">
      <t>センイ</t>
    </rPh>
    <phoneticPr fontId="3"/>
  </si>
  <si>
    <t>※画面遷移図を参照</t>
    <rPh sb="1" eb="3">
      <t>ガメン</t>
    </rPh>
    <rPh sb="3" eb="6">
      <t>センイズ</t>
    </rPh>
    <rPh sb="7" eb="9">
      <t>サンショウ</t>
    </rPh>
    <phoneticPr fontId="3"/>
  </si>
  <si>
    <t>表示条件</t>
    <rPh sb="0" eb="2">
      <t>ヒョウジ</t>
    </rPh>
    <rPh sb="2" eb="4">
      <t>ジョウケン</t>
    </rPh>
    <phoneticPr fontId="3"/>
  </si>
  <si>
    <t>１．初期表示_未ログイン</t>
    <rPh sb="2" eb="6">
      <t>ショキヒョウジ</t>
    </rPh>
    <rPh sb="7" eb="8">
      <t>ミ</t>
    </rPh>
    <phoneticPr fontId="3"/>
  </si>
  <si>
    <t>画面レイアウト（PC）</t>
    <rPh sb="0" eb="2">
      <t>ガメン</t>
    </rPh>
    <phoneticPr fontId="3"/>
  </si>
  <si>
    <t>２．初期表示_ログイン時</t>
    <rPh sb="2" eb="6">
      <t>ショキヒョウジ</t>
    </rPh>
    <rPh sb="11" eb="12">
      <t>ジ</t>
    </rPh>
    <phoneticPr fontId="3"/>
  </si>
  <si>
    <t>３．ハンバーガーメニュー</t>
    <phoneticPr fontId="3"/>
  </si>
  <si>
    <t>４．カード詳細検索</t>
    <rPh sb="5" eb="7">
      <t>ショウサイ</t>
    </rPh>
    <rPh sb="7" eb="9">
      <t>ケンサク</t>
    </rPh>
    <phoneticPr fontId="3"/>
  </si>
  <si>
    <t>画面項目一覧</t>
    <rPh sb="0" eb="2">
      <t>ガメン</t>
    </rPh>
    <rPh sb="2" eb="4">
      <t>コウモク</t>
    </rPh>
    <rPh sb="4" eb="6">
      <t>イチラン</t>
    </rPh>
    <phoneticPr fontId="3"/>
  </si>
  <si>
    <t>※1・・・パワー最大値&lt;パワー最小値の時、ダイアログにてエラーを表示する。</t>
    <phoneticPr fontId="3"/>
  </si>
  <si>
    <t>識別ID</t>
    <rPh sb="0" eb="2">
      <t>シキベツ</t>
    </rPh>
    <phoneticPr fontId="3"/>
  </si>
  <si>
    <t>表示用ラベル</t>
    <rPh sb="0" eb="2">
      <t>ヒョウジ</t>
    </rPh>
    <rPh sb="2" eb="3">
      <t>ヨウ</t>
    </rPh>
    <phoneticPr fontId="3"/>
  </si>
  <si>
    <t>タイプ</t>
    <phoneticPr fontId="3"/>
  </si>
  <si>
    <t>入力</t>
    <rPh sb="0" eb="2">
      <t>ニュウリョク</t>
    </rPh>
    <phoneticPr fontId="3"/>
  </si>
  <si>
    <t>出力</t>
    <rPh sb="0" eb="2">
      <t>シュツリョク</t>
    </rPh>
    <phoneticPr fontId="3"/>
  </si>
  <si>
    <t>チェック項目</t>
    <rPh sb="4" eb="6">
      <t>コウモク</t>
    </rPh>
    <phoneticPr fontId="3"/>
  </si>
  <si>
    <t>出力元</t>
    <rPh sb="0" eb="2">
      <t>シュツリョク</t>
    </rPh>
    <rPh sb="2" eb="3">
      <t>モト</t>
    </rPh>
    <phoneticPr fontId="3"/>
  </si>
  <si>
    <t>備考</t>
    <rPh sb="0" eb="2">
      <t>ビコウ</t>
    </rPh>
    <phoneticPr fontId="3"/>
  </si>
  <si>
    <t>データ型
（文字列/数字）</t>
    <rPh sb="3" eb="4">
      <t>ガタ</t>
    </rPh>
    <phoneticPr fontId="3"/>
  </si>
  <si>
    <t>文字種
（全角/半角）</t>
    <rPh sb="0" eb="3">
      <t>モジシュ</t>
    </rPh>
    <rPh sb="5" eb="7">
      <t>ゼンカク</t>
    </rPh>
    <rPh sb="8" eb="10">
      <t>ハンカク</t>
    </rPh>
    <phoneticPr fontId="3"/>
  </si>
  <si>
    <t>必須</t>
    <rPh sb="0" eb="2">
      <t>ヒッス</t>
    </rPh>
    <phoneticPr fontId="3"/>
  </si>
  <si>
    <t>相関</t>
    <rPh sb="0" eb="2">
      <t>ソウカン</t>
    </rPh>
    <phoneticPr fontId="3"/>
  </si>
  <si>
    <t>処理名</t>
    <rPh sb="0" eb="2">
      <t>ショリ</t>
    </rPh>
    <rPh sb="2" eb="3">
      <t>メイ</t>
    </rPh>
    <phoneticPr fontId="3"/>
  </si>
  <si>
    <t>項目</t>
    <rPh sb="0" eb="2">
      <t>コウモク</t>
    </rPh>
    <phoneticPr fontId="3"/>
  </si>
  <si>
    <t>1</t>
    <phoneticPr fontId="3"/>
  </si>
  <si>
    <t>ヘッダーエリア</t>
    <phoneticPr fontId="3"/>
  </si>
  <si>
    <t>-</t>
    <phoneticPr fontId="3"/>
  </si>
  <si>
    <t>1-1</t>
    <phoneticPr fontId="3"/>
  </si>
  <si>
    <t>サイトロゴ</t>
    <phoneticPr fontId="3"/>
  </si>
  <si>
    <t>画像</t>
    <rPh sb="0" eb="2">
      <t>ガゾウ</t>
    </rPh>
    <phoneticPr fontId="3"/>
  </si>
  <si>
    <t>1-2</t>
    <phoneticPr fontId="3"/>
  </si>
  <si>
    <t>ログイン</t>
    <phoneticPr fontId="3"/>
  </si>
  <si>
    <t>ボタン</t>
    <phoneticPr fontId="3"/>
  </si>
  <si>
    <t>ログイン情報が取得できない場合表示</t>
    <rPh sb="4" eb="6">
      <t>ジョウホウ</t>
    </rPh>
    <rPh sb="7" eb="9">
      <t>シュトク</t>
    </rPh>
    <rPh sb="13" eb="15">
      <t>バアイ</t>
    </rPh>
    <rPh sb="15" eb="17">
      <t>ヒョウジ</t>
    </rPh>
    <phoneticPr fontId="3"/>
  </si>
  <si>
    <t>1-3</t>
    <phoneticPr fontId="3"/>
  </si>
  <si>
    <t>ユーザー名</t>
    <rPh sb="4" eb="5">
      <t>メイ</t>
    </rPh>
    <phoneticPr fontId="3"/>
  </si>
  <si>
    <t>共通エリア初期表示</t>
    <rPh sb="0" eb="2">
      <t>キョウツウ</t>
    </rPh>
    <rPh sb="5" eb="9">
      <t>ショキヒョウジ</t>
    </rPh>
    <phoneticPr fontId="3"/>
  </si>
  <si>
    <t>セッション.ログインユーザー.ユーザー名</t>
    <rPh sb="19" eb="20">
      <t>メイ</t>
    </rPh>
    <phoneticPr fontId="3"/>
  </si>
  <si>
    <t>ログイン情報が取得できる場合表示</t>
    <rPh sb="4" eb="6">
      <t>ジョウホウ</t>
    </rPh>
    <rPh sb="7" eb="9">
      <t>シュトク</t>
    </rPh>
    <rPh sb="12" eb="14">
      <t>バアイ</t>
    </rPh>
    <rPh sb="14" eb="16">
      <t>ヒョウジ</t>
    </rPh>
    <phoneticPr fontId="3"/>
  </si>
  <si>
    <t>マイデッキ</t>
    <phoneticPr fontId="3"/>
  </si>
  <si>
    <t>対戦履歴</t>
    <rPh sb="0" eb="4">
      <t>タイセンリレキ</t>
    </rPh>
    <phoneticPr fontId="3"/>
  </si>
  <si>
    <t>マイフレンド</t>
    <phoneticPr fontId="3"/>
  </si>
  <si>
    <t>マイプロフィール</t>
    <phoneticPr fontId="3"/>
  </si>
  <si>
    <t>ログアウト</t>
    <phoneticPr fontId="3"/>
  </si>
  <si>
    <t>2</t>
    <phoneticPr fontId="3"/>
  </si>
  <si>
    <t>カード検索エリア</t>
    <rPh sb="3" eb="5">
      <t>ケンサク</t>
    </rPh>
    <phoneticPr fontId="3"/>
  </si>
  <si>
    <t>-</t>
  </si>
  <si>
    <t>2-1</t>
    <phoneticPr fontId="3"/>
  </si>
  <si>
    <t>キーワード</t>
    <phoneticPr fontId="3"/>
  </si>
  <si>
    <t>テキストボックス</t>
    <phoneticPr fontId="3"/>
  </si>
  <si>
    <t>○</t>
    <phoneticPr fontId="3"/>
  </si>
  <si>
    <t>プレースホルダーとして以下を表示
「キーワードを入力」</t>
    <rPh sb="11" eb="13">
      <t>イカ</t>
    </rPh>
    <rPh sb="14" eb="16">
      <t>ヒョウジ</t>
    </rPh>
    <phoneticPr fontId="3"/>
  </si>
  <si>
    <t>2-2</t>
    <phoneticPr fontId="3"/>
  </si>
  <si>
    <t>検索対象</t>
    <rPh sb="0" eb="2">
      <t>ケンサク</t>
    </rPh>
    <rPh sb="2" eb="4">
      <t>タイショウ</t>
    </rPh>
    <phoneticPr fontId="3"/>
  </si>
  <si>
    <t>ラベル</t>
    <phoneticPr fontId="3"/>
  </si>
  <si>
    <t>2-3</t>
    <phoneticPr fontId="3"/>
  </si>
  <si>
    <t>名前</t>
    <rPh sb="0" eb="2">
      <t>ナマエ</t>
    </rPh>
    <phoneticPr fontId="3"/>
  </si>
  <si>
    <t>チェックボックス</t>
    <phoneticPr fontId="3"/>
  </si>
  <si>
    <t>初期値はチェックあり</t>
  </si>
  <si>
    <t>2-4</t>
    <phoneticPr fontId="3"/>
  </si>
  <si>
    <t>特徴</t>
    <rPh sb="0" eb="2">
      <t>トクチョウ</t>
    </rPh>
    <phoneticPr fontId="3"/>
  </si>
  <si>
    <t>2-5</t>
    <phoneticPr fontId="3"/>
  </si>
  <si>
    <t>テキスト</t>
    <phoneticPr fontId="3"/>
  </si>
  <si>
    <t>2-6</t>
    <phoneticPr fontId="3"/>
  </si>
  <si>
    <t>カード番号</t>
    <rPh sb="3" eb="5">
      <t>バンゴウ</t>
    </rPh>
    <phoneticPr fontId="3"/>
  </si>
  <si>
    <t>2-7</t>
    <phoneticPr fontId="3"/>
  </si>
  <si>
    <t>カード検索</t>
    <rPh sb="3" eb="5">
      <t>ケンサク</t>
    </rPh>
    <phoneticPr fontId="3"/>
  </si>
  <si>
    <t>2-8</t>
    <phoneticPr fontId="3"/>
  </si>
  <si>
    <t>▲</t>
    <phoneticPr fontId="3"/>
  </si>
  <si>
    <t>2-9</t>
    <phoneticPr fontId="3"/>
  </si>
  <si>
    <t>ネオスタンダード区分</t>
    <rPh sb="8" eb="10">
      <t>クブン</t>
    </rPh>
    <phoneticPr fontId="3"/>
  </si>
  <si>
    <t>2-10</t>
    <phoneticPr fontId="3"/>
  </si>
  <si>
    <t>プルダウン</t>
    <phoneticPr fontId="3"/>
  </si>
  <si>
    <t>セッション.ネオスタンダード区分リスト</t>
    <rPh sb="14" eb="16">
      <t>クブン</t>
    </rPh>
    <phoneticPr fontId="3"/>
  </si>
  <si>
    <t>2-11</t>
    <phoneticPr fontId="3"/>
  </si>
  <si>
    <t>カード種類</t>
    <rPh sb="3" eb="5">
      <t>シュルイ</t>
    </rPh>
    <phoneticPr fontId="3"/>
  </si>
  <si>
    <t>2-12</t>
    <phoneticPr fontId="3"/>
  </si>
  <si>
    <t>セッション.カード種類リスト</t>
    <rPh sb="9" eb="11">
      <t>シュルイ</t>
    </rPh>
    <phoneticPr fontId="3"/>
  </si>
  <si>
    <t>2-13</t>
    <phoneticPr fontId="3"/>
  </si>
  <si>
    <t>レベル</t>
    <phoneticPr fontId="3"/>
  </si>
  <si>
    <t>2-14</t>
    <phoneticPr fontId="3"/>
  </si>
  <si>
    <t>セッション.レベルリスト</t>
    <phoneticPr fontId="3"/>
  </si>
  <si>
    <t>2-15</t>
    <phoneticPr fontId="3"/>
  </si>
  <si>
    <t>パワー</t>
    <phoneticPr fontId="3"/>
  </si>
  <si>
    <t>2-16</t>
    <phoneticPr fontId="3"/>
  </si>
  <si>
    <t>パワー最小値</t>
    <rPh sb="3" eb="6">
      <t>サイショウチ</t>
    </rPh>
    <phoneticPr fontId="3"/>
  </si>
  <si>
    <t>※1</t>
    <phoneticPr fontId="3"/>
  </si>
  <si>
    <t>セッション.パワーリスト</t>
    <phoneticPr fontId="3"/>
  </si>
  <si>
    <t>パワー最大値&lt;パワー最小値の時、エラーを表示する。</t>
    <rPh sb="3" eb="6">
      <t>サイダイアタイ</t>
    </rPh>
    <rPh sb="10" eb="13">
      <t>サイショウチ</t>
    </rPh>
    <rPh sb="14" eb="15">
      <t>トキ</t>
    </rPh>
    <rPh sb="20" eb="22">
      <t>ヒョウジ</t>
    </rPh>
    <phoneticPr fontId="3"/>
  </si>
  <si>
    <t>2-17</t>
    <phoneticPr fontId="3"/>
  </si>
  <si>
    <t>～</t>
    <phoneticPr fontId="3"/>
  </si>
  <si>
    <t>2-18</t>
    <phoneticPr fontId="3"/>
  </si>
  <si>
    <t>パワー最大値</t>
    <rPh sb="3" eb="6">
      <t>サイダイアタイ</t>
    </rPh>
    <phoneticPr fontId="3"/>
  </si>
  <si>
    <t>2-19</t>
    <phoneticPr fontId="3"/>
  </si>
  <si>
    <t>色</t>
    <rPh sb="0" eb="1">
      <t>イロ</t>
    </rPh>
    <phoneticPr fontId="3"/>
  </si>
  <si>
    <t>2-20</t>
    <phoneticPr fontId="3"/>
  </si>
  <si>
    <t>セッション.色リスト</t>
    <rPh sb="6" eb="7">
      <t>イロ</t>
    </rPh>
    <phoneticPr fontId="3"/>
  </si>
  <si>
    <t>2-21</t>
    <phoneticPr fontId="3"/>
  </si>
  <si>
    <t>ソウル</t>
    <phoneticPr fontId="3"/>
  </si>
  <si>
    <t>2-22</t>
    <phoneticPr fontId="3"/>
  </si>
  <si>
    <t>セッション.ソウルリスト</t>
    <phoneticPr fontId="3"/>
  </si>
  <si>
    <t>2-23</t>
    <phoneticPr fontId="3"/>
  </si>
  <si>
    <t>コスト</t>
    <phoneticPr fontId="3"/>
  </si>
  <si>
    <t>2-24</t>
    <phoneticPr fontId="3"/>
  </si>
  <si>
    <t>セッション.コストリスト</t>
    <phoneticPr fontId="3"/>
  </si>
  <si>
    <t>2-25</t>
    <phoneticPr fontId="3"/>
  </si>
  <si>
    <t>トリガー</t>
    <phoneticPr fontId="3"/>
  </si>
  <si>
    <t>2-26</t>
    <phoneticPr fontId="3"/>
  </si>
  <si>
    <t>セッション.トリガーリスト</t>
    <phoneticPr fontId="3"/>
  </si>
  <si>
    <t>3</t>
    <phoneticPr fontId="3"/>
  </si>
  <si>
    <t>フッターエリア</t>
    <phoneticPr fontId="3"/>
  </si>
  <si>
    <t>★要検討</t>
    <rPh sb="1" eb="4">
      <t>ヨウケントウ</t>
    </rPh>
    <phoneticPr fontId="3"/>
  </si>
  <si>
    <t>3-1</t>
    <phoneticPr fontId="3"/>
  </si>
  <si>
    <t>コピーライト</t>
    <phoneticPr fontId="3"/>
  </si>
  <si>
    <t>3-2</t>
    <phoneticPr fontId="3"/>
  </si>
  <si>
    <t>公式サイト</t>
    <rPh sb="0" eb="2">
      <t>コウシキ</t>
    </rPh>
    <phoneticPr fontId="3"/>
  </si>
  <si>
    <t>リンク</t>
    <phoneticPr fontId="3"/>
  </si>
  <si>
    <t>3-3</t>
    <phoneticPr fontId="3"/>
  </si>
  <si>
    <t>すぐに対戦を始める</t>
    <rPh sb="3" eb="5">
      <t>タイセン</t>
    </rPh>
    <rPh sb="6" eb="7">
      <t>ハジ</t>
    </rPh>
    <phoneticPr fontId="3"/>
  </si>
  <si>
    <t>画面表示制御</t>
    <rPh sb="0" eb="2">
      <t>ガメン</t>
    </rPh>
    <rPh sb="2" eb="4">
      <t>ヒョウジ</t>
    </rPh>
    <rPh sb="4" eb="6">
      <t>セイギョ</t>
    </rPh>
    <phoneticPr fontId="3"/>
  </si>
  <si>
    <t>○表示/△非活性/-非表示</t>
    <rPh sb="1" eb="3">
      <t>ヒョウジ</t>
    </rPh>
    <rPh sb="5" eb="8">
      <t>ヒカッセイ</t>
    </rPh>
    <rPh sb="10" eb="13">
      <t>ヒヒョウジ</t>
    </rPh>
    <phoneticPr fontId="3"/>
  </si>
  <si>
    <t>ボタン押下時処理はボタン押下の度に表示制御を切り替える。</t>
    <phoneticPr fontId="3"/>
  </si>
  <si>
    <t>以下、セッションによる制御と処理による表示制御を同時に満たす場合のみ項目を表示する。</t>
    <rPh sb="0" eb="2">
      <t>イカ</t>
    </rPh>
    <rPh sb="11" eb="13">
      <t>セイギョ</t>
    </rPh>
    <rPh sb="14" eb="16">
      <t>ショリ</t>
    </rPh>
    <rPh sb="19" eb="21">
      <t>ヒョウジ</t>
    </rPh>
    <rPh sb="21" eb="23">
      <t>セイギョ</t>
    </rPh>
    <rPh sb="24" eb="26">
      <t>ドウジ</t>
    </rPh>
    <rPh sb="27" eb="28">
      <t>ミ</t>
    </rPh>
    <rPh sb="30" eb="32">
      <t>バアイ</t>
    </rPh>
    <rPh sb="34" eb="36">
      <t>コウモク</t>
    </rPh>
    <rPh sb="37" eb="39">
      <t>ヒョウジ</t>
    </rPh>
    <phoneticPr fontId="3"/>
  </si>
  <si>
    <t>セッション</t>
    <phoneticPr fontId="3"/>
  </si>
  <si>
    <t>表示処理</t>
    <rPh sb="0" eb="2">
      <t>ヒョウジ</t>
    </rPh>
    <rPh sb="2" eb="4">
      <t>ショリ</t>
    </rPh>
    <phoneticPr fontId="3"/>
  </si>
  <si>
    <t>ログインフラグ</t>
    <phoneticPr fontId="3"/>
  </si>
  <si>
    <t>初期表示</t>
    <phoneticPr fontId="3"/>
  </si>
  <si>
    <t>ボタン押下時処理</t>
    <rPh sb="3" eb="6">
      <t>オウカジ</t>
    </rPh>
    <rPh sb="6" eb="8">
      <t>ショリ</t>
    </rPh>
    <phoneticPr fontId="3"/>
  </si>
  <si>
    <t>1.ログイン</t>
    <phoneticPr fontId="3"/>
  </si>
  <si>
    <t>2.ゲスト</t>
    <phoneticPr fontId="3"/>
  </si>
  <si>
    <t>ユーザー名押下時</t>
    <rPh sb="3" eb="4">
      <t>メイ</t>
    </rPh>
    <rPh sb="4" eb="7">
      <t>オウカジ</t>
    </rPh>
    <phoneticPr fontId="3"/>
  </si>
  <si>
    <t xml:space="preserve"> </t>
    <phoneticPr fontId="3"/>
  </si>
  <si>
    <t>○/-</t>
    <phoneticPr fontId="3"/>
  </si>
  <si>
    <t>○</t>
  </si>
  <si>
    <t>会員登録はこちら</t>
    <rPh sb="0" eb="2">
      <t>カイイン</t>
    </rPh>
    <rPh sb="2" eb="4">
      <t>トウロク</t>
    </rPh>
    <phoneticPr fontId="3"/>
  </si>
  <si>
    <t>ログインはこちら</t>
    <phoneticPr fontId="3"/>
  </si>
  <si>
    <t>呼び出し条件</t>
    <rPh sb="0" eb="1">
      <t>ヨ</t>
    </rPh>
    <rPh sb="2" eb="3">
      <t>ダ</t>
    </rPh>
    <rPh sb="4" eb="6">
      <t>ジョウケン</t>
    </rPh>
    <phoneticPr fontId="3"/>
  </si>
  <si>
    <t>処理概要</t>
    <rPh sb="0" eb="4">
      <t>ショリガイヨウ</t>
    </rPh>
    <phoneticPr fontId="3"/>
  </si>
  <si>
    <t>遷移先画面</t>
    <rPh sb="0" eb="3">
      <t>センイサキ</t>
    </rPh>
    <rPh sb="3" eb="5">
      <t>ガメン</t>
    </rPh>
    <phoneticPr fontId="3"/>
  </si>
  <si>
    <t>物理名</t>
    <rPh sb="0" eb="3">
      <t>ブツリメイ</t>
    </rPh>
    <phoneticPr fontId="3"/>
  </si>
  <si>
    <t>データ型</t>
    <rPh sb="3" eb="4">
      <t>ガタ</t>
    </rPh>
    <phoneticPr fontId="3"/>
  </si>
  <si>
    <t>String</t>
    <phoneticPr fontId="3"/>
  </si>
  <si>
    <t>User</t>
    <phoneticPr fontId="3"/>
  </si>
  <si>
    <t>ネオスタンダード区分リスト</t>
    <phoneticPr fontId="3"/>
  </si>
  <si>
    <t>neoStandardList</t>
    <phoneticPr fontId="3"/>
  </si>
  <si>
    <t>List&lt;NeoStandard&gt;</t>
    <phoneticPr fontId="3"/>
  </si>
  <si>
    <t>List&lt;CardType&gt;</t>
    <phoneticPr fontId="3"/>
  </si>
  <si>
    <t>List&lt;Integer&gt;</t>
    <phoneticPr fontId="3"/>
  </si>
  <si>
    <t>colorList</t>
    <phoneticPr fontId="3"/>
  </si>
  <si>
    <t>List&lt;Color&gt;</t>
    <phoneticPr fontId="3"/>
  </si>
  <si>
    <t>サイトTOP遷移</t>
    <rPh sb="6" eb="8">
      <t>センイ</t>
    </rPh>
    <phoneticPr fontId="3"/>
  </si>
  <si>
    <t>サイトロゴ押下時</t>
    <rPh sb="5" eb="7">
      <t>オウカ</t>
    </rPh>
    <rPh sb="7" eb="8">
      <t>ジ</t>
    </rPh>
    <phoneticPr fontId="3"/>
  </si>
  <si>
    <t>サイトTOP画面へリダイレクトする。</t>
    <rPh sb="6" eb="8">
      <t>ガメン</t>
    </rPh>
    <phoneticPr fontId="3"/>
  </si>
  <si>
    <t>ログイン遷移</t>
    <rPh sb="4" eb="6">
      <t>センイ</t>
    </rPh>
    <phoneticPr fontId="3"/>
  </si>
  <si>
    <t>ログイン画面へリダイレクトする。</t>
    <phoneticPr fontId="3"/>
  </si>
  <si>
    <t>ユーザーメニューを表示/非表示</t>
    <rPh sb="9" eb="11">
      <t>ヒョウジ</t>
    </rPh>
    <rPh sb="12" eb="15">
      <t>ヒヒョウジ</t>
    </rPh>
    <phoneticPr fontId="3"/>
  </si>
  <si>
    <t>①ユーザー名ボタンを押下した時、以下項目を表示する。
1-4.対戦履歴
1-5.フレンド
1-6.プロフィール情報
1-7.ログアウト
②再度、ユーザー名を押下した時、上記項目を非表示にする。</t>
    <phoneticPr fontId="3"/>
  </si>
  <si>
    <t>マイデッキ遷移</t>
    <rPh sb="5" eb="7">
      <t>センイ</t>
    </rPh>
    <phoneticPr fontId="3"/>
  </si>
  <si>
    <t>マイデッキ画面へリダイレクトする。</t>
    <phoneticPr fontId="3"/>
  </si>
  <si>
    <t>対戦履歴遷移</t>
    <rPh sb="0" eb="2">
      <t>タイセン</t>
    </rPh>
    <rPh sb="2" eb="4">
      <t>リレキ</t>
    </rPh>
    <rPh sb="4" eb="6">
      <t>センイ</t>
    </rPh>
    <phoneticPr fontId="3"/>
  </si>
  <si>
    <t>対戦履歴画面へリダイレクトする。</t>
    <rPh sb="0" eb="2">
      <t>タイセン</t>
    </rPh>
    <rPh sb="2" eb="4">
      <t>リレキ</t>
    </rPh>
    <phoneticPr fontId="3"/>
  </si>
  <si>
    <t>マイフレンド遷移</t>
    <rPh sb="6" eb="8">
      <t>センイ</t>
    </rPh>
    <phoneticPr fontId="3"/>
  </si>
  <si>
    <t>マイフレンド画面へリダイレクトする。</t>
    <phoneticPr fontId="3"/>
  </si>
  <si>
    <t>マイプロフィール遷移</t>
    <rPh sb="8" eb="10">
      <t>センイ</t>
    </rPh>
    <phoneticPr fontId="3"/>
  </si>
  <si>
    <t>マイプロフィール画面へリダイレクトする。</t>
    <phoneticPr fontId="3"/>
  </si>
  <si>
    <t>処理ID</t>
    <rPh sb="0" eb="2">
      <t>ショリ</t>
    </rPh>
    <phoneticPr fontId="3"/>
  </si>
  <si>
    <t>処理名称</t>
    <rPh sb="0" eb="2">
      <t>ショリ</t>
    </rPh>
    <rPh sb="2" eb="4">
      <t>メイショウ</t>
    </rPh>
    <phoneticPr fontId="3"/>
  </si>
  <si>
    <t>パッケージ名</t>
    <rPh sb="5" eb="6">
      <t>メイ</t>
    </rPh>
    <phoneticPr fontId="3"/>
  </si>
  <si>
    <t>jp.co.battlePortalSimulation.controller.pk</t>
    <phoneticPr fontId="3"/>
  </si>
  <si>
    <t>共通エリア初期表示処理</t>
    <rPh sb="0" eb="2">
      <t>キョウツウ</t>
    </rPh>
    <rPh sb="5" eb="9">
      <t>ショキヒョウジ</t>
    </rPh>
    <rPh sb="9" eb="11">
      <t>ショリ</t>
    </rPh>
    <phoneticPr fontId="3"/>
  </si>
  <si>
    <t>クラス名</t>
    <rPh sb="3" eb="4">
      <t>メイ</t>
    </rPh>
    <phoneticPr fontId="3"/>
  </si>
  <si>
    <t>メソッド名</t>
    <rPh sb="4" eb="5">
      <t>メイ</t>
    </rPh>
    <phoneticPr fontId="3"/>
  </si>
  <si>
    <t>doGet</t>
    <phoneticPr fontId="3"/>
  </si>
  <si>
    <t>共通エリアの初期表示に必要なデータを取得しリクエストに設定する。</t>
    <rPh sb="0" eb="2">
      <t>キョウツウ</t>
    </rPh>
    <rPh sb="6" eb="10">
      <t>ショキヒョウジ</t>
    </rPh>
    <rPh sb="11" eb="13">
      <t>ヒツヨウ</t>
    </rPh>
    <rPh sb="18" eb="20">
      <t>シュトク</t>
    </rPh>
    <rPh sb="27" eb="29">
      <t>セッテイ</t>
    </rPh>
    <phoneticPr fontId="3"/>
  </si>
  <si>
    <t>入力項目</t>
    <rPh sb="0" eb="2">
      <t>ニュウリョク</t>
    </rPh>
    <rPh sb="2" eb="4">
      <t>コウモク</t>
    </rPh>
    <phoneticPr fontId="3"/>
  </si>
  <si>
    <t>取得元項目</t>
    <rPh sb="0" eb="2">
      <t>シュトク</t>
    </rPh>
    <rPh sb="2" eb="3">
      <t>モト</t>
    </rPh>
    <rPh sb="3" eb="5">
      <t>コウモク</t>
    </rPh>
    <phoneticPr fontId="3"/>
  </si>
  <si>
    <t>論理名</t>
    <rPh sb="0" eb="2">
      <t>ロンリ</t>
    </rPh>
    <rPh sb="2" eb="3">
      <t>メイ</t>
    </rPh>
    <phoneticPr fontId="3"/>
  </si>
  <si>
    <t>リクエスト</t>
    <phoneticPr fontId="3"/>
  </si>
  <si>
    <t>出力項目</t>
    <rPh sb="0" eb="2">
      <t>シュツリョク</t>
    </rPh>
    <rPh sb="2" eb="4">
      <t>コウモク</t>
    </rPh>
    <phoneticPr fontId="3"/>
  </si>
  <si>
    <t>出力先項目</t>
    <rPh sb="0" eb="2">
      <t>シュツリョク</t>
    </rPh>
    <rPh sb="2" eb="3">
      <t>サキ</t>
    </rPh>
    <rPh sb="3" eb="5">
      <t>コウモク</t>
    </rPh>
    <phoneticPr fontId="3"/>
  </si>
  <si>
    <t>LoginFlag</t>
    <phoneticPr fontId="3"/>
  </si>
  <si>
    <t>1.ログイン/2.ゲスト</t>
    <phoneticPr fontId="3"/>
  </si>
  <si>
    <t>ログインユーザー</t>
  </si>
  <si>
    <t>LoginUser</t>
    <phoneticPr fontId="3"/>
  </si>
  <si>
    <t>ログインしているユーザー情報</t>
    <rPh sb="12" eb="14">
      <t>ジョウホウ</t>
    </rPh>
    <phoneticPr fontId="3"/>
  </si>
  <si>
    <t>機能ID</t>
    <rPh sb="0" eb="2">
      <t>キノウ</t>
    </rPh>
    <phoneticPr fontId="3"/>
  </si>
  <si>
    <t>画面名</t>
    <rPh sb="0" eb="2">
      <t>ガメン</t>
    </rPh>
    <rPh sb="2" eb="3">
      <t>メイ</t>
    </rPh>
    <phoneticPr fontId="3"/>
  </si>
  <si>
    <t>共通エリア</t>
  </si>
  <si>
    <t>処理詳細</t>
    <rPh sb="0" eb="2">
      <t>ショリ</t>
    </rPh>
    <rPh sb="2" eb="4">
      <t>ショウサイ</t>
    </rPh>
    <phoneticPr fontId="3"/>
  </si>
  <si>
    <t>1.セッションから実施処理を判定する。</t>
    <rPh sb="9" eb="11">
      <t>ジッシ</t>
    </rPh>
    <rPh sb="11" eb="13">
      <t>ショリ</t>
    </rPh>
    <rPh sb="14" eb="16">
      <t>ハンテイ</t>
    </rPh>
    <phoneticPr fontId="3"/>
  </si>
  <si>
    <t>処理判別</t>
    <rPh sb="0" eb="2">
      <t>ショリ</t>
    </rPh>
    <rPh sb="2" eb="4">
      <t>ハンベツ</t>
    </rPh>
    <phoneticPr fontId="3"/>
  </si>
  <si>
    <t>実施処理</t>
    <rPh sb="0" eb="2">
      <t>ジッシ</t>
    </rPh>
    <rPh sb="2" eb="4">
      <t>ショリ</t>
    </rPh>
    <phoneticPr fontId="3"/>
  </si>
  <si>
    <t>セッションがnull or 空</t>
    <rPh sb="14" eb="15">
      <t>カラ</t>
    </rPh>
    <phoneticPr fontId="3"/>
  </si>
  <si>
    <t>セッション.ログインフラグ=2.ゲストを設定する。</t>
    <rPh sb="20" eb="22">
      <t>セッテイ</t>
    </rPh>
    <phoneticPr fontId="3"/>
  </si>
  <si>
    <t>セッション.ログインユーザーが空orNull</t>
    <rPh sb="15" eb="16">
      <t>カラ</t>
    </rPh>
    <phoneticPr fontId="3"/>
  </si>
  <si>
    <t>上記以外</t>
    <rPh sb="0" eb="2">
      <t>ジョウキ</t>
    </rPh>
    <rPh sb="2" eb="4">
      <t>イガイ</t>
    </rPh>
    <phoneticPr fontId="3"/>
  </si>
  <si>
    <t>セッション.ログインフラグ=1.ログインを設定する。</t>
    <phoneticPr fontId="3"/>
  </si>
  <si>
    <t>2.セッション.ログインユーザー.ログインIDからログインユーザーを取得する。</t>
    <rPh sb="34" eb="36">
      <t>シュトク</t>
    </rPh>
    <phoneticPr fontId="3"/>
  </si>
  <si>
    <t>セッション.ログインフラグ=1.ログイン</t>
    <phoneticPr fontId="3"/>
  </si>
  <si>
    <t>2.1の処理を実施後、3の処理を実施する。</t>
    <rPh sb="4" eb="6">
      <t>ショリ</t>
    </rPh>
    <rPh sb="7" eb="9">
      <t>ジッシ</t>
    </rPh>
    <rPh sb="9" eb="10">
      <t>アト</t>
    </rPh>
    <rPh sb="13" eb="15">
      <t>ショリ</t>
    </rPh>
    <rPh sb="16" eb="18">
      <t>ジッシ</t>
    </rPh>
    <phoneticPr fontId="3"/>
  </si>
  <si>
    <t>セッション.ログインフラグ=2.ゲスト</t>
    <phoneticPr fontId="3"/>
  </si>
  <si>
    <t>3の処理を実施する。</t>
    <rPh sb="2" eb="4">
      <t>ショリ</t>
    </rPh>
    <rPh sb="5" eb="7">
      <t>ジッシ</t>
    </rPh>
    <phoneticPr fontId="3"/>
  </si>
  <si>
    <t>2.1.ユーザー取得APIを実行する。</t>
    <rPh sb="8" eb="10">
      <t>シュトク</t>
    </rPh>
    <rPh sb="14" eb="16">
      <t>ジッコウ</t>
    </rPh>
    <phoneticPr fontId="3"/>
  </si>
  <si>
    <t>引数</t>
    <rPh sb="0" eb="2">
      <t>ヒキスウ</t>
    </rPh>
    <phoneticPr fontId="3"/>
  </si>
  <si>
    <t>データ型</t>
  </si>
  <si>
    <t>セッション.ログインユーザー.ログインID</t>
    <phoneticPr fontId="3"/>
  </si>
  <si>
    <t>loginId</t>
    <phoneticPr fontId="3"/>
  </si>
  <si>
    <t>戻り値</t>
    <rPh sb="0" eb="1">
      <t>モド</t>
    </rPh>
    <rPh sb="2" eb="3">
      <t>アタイ</t>
    </rPh>
    <phoneticPr fontId="3"/>
  </si>
  <si>
    <t>ユーザー</t>
    <phoneticPr fontId="3"/>
  </si>
  <si>
    <t>user</t>
    <phoneticPr fontId="3"/>
  </si>
  <si>
    <t>2.2.ユーザー取得APIの戻り値をセッションに設定する。</t>
    <rPh sb="8" eb="10">
      <t>シュトク</t>
    </rPh>
    <rPh sb="14" eb="15">
      <t>モド</t>
    </rPh>
    <rPh sb="16" eb="17">
      <t>アタイ</t>
    </rPh>
    <rPh sb="24" eb="26">
      <t>セッテイ</t>
    </rPh>
    <phoneticPr fontId="3"/>
  </si>
  <si>
    <t>セッション設定値</t>
    <rPh sb="5" eb="7">
      <t>セッテイ</t>
    </rPh>
    <rPh sb="7" eb="8">
      <t>アタイ</t>
    </rPh>
    <phoneticPr fontId="3"/>
  </si>
  <si>
    <t>2.1取得項目</t>
    <rPh sb="3" eb="5">
      <t>シュトク</t>
    </rPh>
    <rPh sb="5" eb="7">
      <t>コウモク</t>
    </rPh>
    <phoneticPr fontId="3"/>
  </si>
  <si>
    <t>3.初期表示に必要なデータを取得し、セッションに設定する。</t>
    <rPh sb="2" eb="6">
      <t>ショキヒョウジ</t>
    </rPh>
    <rPh sb="7" eb="9">
      <t>ヒツヨウ</t>
    </rPh>
    <rPh sb="14" eb="16">
      <t>シュトク</t>
    </rPh>
    <rPh sb="24" eb="26">
      <t>セッテイ</t>
    </rPh>
    <phoneticPr fontId="3"/>
  </si>
  <si>
    <t>3.1.カード検索用リスト取得APIを実行する。</t>
  </si>
  <si>
    <t>カード種類リスト</t>
  </si>
  <si>
    <t>cardTypeList</t>
  </si>
  <si>
    <t>レベルリスト</t>
  </si>
  <si>
    <t>levelList</t>
  </si>
  <si>
    <t>パワーリスト</t>
  </si>
  <si>
    <t>powerList</t>
  </si>
  <si>
    <t>List&lt;Integer&gt;</t>
  </si>
  <si>
    <t>色リスト</t>
  </si>
  <si>
    <t>ソウルリスト</t>
  </si>
  <si>
    <t>seoulList</t>
  </si>
  <si>
    <t>コストリスト</t>
  </si>
  <si>
    <t>costList</t>
  </si>
  <si>
    <t>トリガーリスト</t>
  </si>
  <si>
    <t>triggerList</t>
  </si>
  <si>
    <t>List&lt;Trigger&gt;</t>
  </si>
  <si>
    <t>3.2.カード検索用リスト取得APIの戻り値をセッションに設定する。</t>
    <rPh sb="7" eb="10">
      <t>ケンサクヨウ</t>
    </rPh>
    <rPh sb="13" eb="15">
      <t>シュトク</t>
    </rPh>
    <rPh sb="19" eb="20">
      <t>モド</t>
    </rPh>
    <rPh sb="21" eb="22">
      <t>アタイ</t>
    </rPh>
    <rPh sb="29" eb="31">
      <t>セッテイ</t>
    </rPh>
    <phoneticPr fontId="3"/>
  </si>
  <si>
    <t>ログアウト処理</t>
    <rPh sb="5" eb="7">
      <t>ショリ</t>
    </rPh>
    <phoneticPr fontId="3"/>
  </si>
  <si>
    <t>共通エリアの初期表示に必要な情報を取得する処理</t>
    <rPh sb="0" eb="2">
      <t>キョウツウ</t>
    </rPh>
    <rPh sb="6" eb="10">
      <t>ショキヒョウジ</t>
    </rPh>
    <rPh sb="11" eb="13">
      <t>ヒツヨウ</t>
    </rPh>
    <rPh sb="14" eb="16">
      <t>ジョウホウ</t>
    </rPh>
    <rPh sb="17" eb="19">
      <t>シュトク</t>
    </rPh>
    <rPh sb="21" eb="23">
      <t>ショリ</t>
    </rPh>
    <phoneticPr fontId="3"/>
  </si>
  <si>
    <t>1.セッション.ログインユーザーから実施処理を判別する。</t>
    <rPh sb="18" eb="20">
      <t>ジッシ</t>
    </rPh>
    <rPh sb="20" eb="22">
      <t>ショリ</t>
    </rPh>
    <rPh sb="23" eb="25">
      <t>ハンベツ</t>
    </rPh>
    <phoneticPr fontId="3"/>
  </si>
  <si>
    <t>2.1の処理を実施する。</t>
    <rPh sb="4" eb="6">
      <t>ショリ</t>
    </rPh>
    <rPh sb="7" eb="9">
      <t>ジッシ</t>
    </rPh>
    <phoneticPr fontId="3"/>
  </si>
  <si>
    <t>以下の処理を実施する。</t>
    <rPh sb="0" eb="2">
      <t>イカ</t>
    </rPh>
    <rPh sb="3" eb="5">
      <t>ショリ</t>
    </rPh>
    <rPh sb="6" eb="8">
      <t>ジッシ</t>
    </rPh>
    <phoneticPr fontId="3"/>
  </si>
  <si>
    <t>カード検索処理</t>
    <rPh sb="3" eb="5">
      <t>ケンサク</t>
    </rPh>
    <rPh sb="5" eb="7">
      <t>ショリ</t>
    </rPh>
    <phoneticPr fontId="3"/>
  </si>
  <si>
    <t>以下の条件で、カードテーブルからカード情報を取得する。</t>
  </si>
  <si>
    <t>①以下を条件に追加。</t>
  </si>
  <si>
    <t>　カードテーブル.カード有効化フラグ　＝　1.有効</t>
  </si>
  <si>
    <t>②「名前」にチェックボックスが入っている場合、以下を条件に追加。</t>
  </si>
  <si>
    <t>　OR　カードテーブル.カード名　LIKE　%キーワード%</t>
  </si>
  <si>
    <t>③「特徴」にチェックボックスが入っている場合、以下を条件に追加。</t>
  </si>
  <si>
    <t>　OR　カードテーブル.特徴　LIKE　%キーワード%</t>
  </si>
  <si>
    <t>④「テキスト」にチェックボックスが入っている場合、以下を条件に追加。</t>
  </si>
  <si>
    <t>　OR　カードテーブル.テキスト　LIKE　%キーワード%</t>
  </si>
  <si>
    <t>⑤「カード番号」にチェックボックスが入っている場合、以下を条件に追加</t>
  </si>
  <si>
    <t>　OR　カードテーブル.カード番号　LIKE　%キーワード%</t>
  </si>
  <si>
    <t>⑥「ネオスタンダード区分」が空でない場合、以下を条件に追加。</t>
  </si>
  <si>
    <t>　AND　カードテーブル.ネオスタンダード区分　＝　ネオスタンダード区分</t>
  </si>
  <si>
    <t>⑦「カード種類」が空でない場合、以下を条件に追加。</t>
  </si>
  <si>
    <t>　AND　カードテーブル.カード種類　＝　カード種類</t>
  </si>
  <si>
    <t>⑧「レベル」が空でない場合、以下を条件に追加。</t>
  </si>
  <si>
    <t>　AND　カードテーブル.レベル　＝　レベル</t>
  </si>
  <si>
    <t>⑨「パワー最小値」が空でない場合、以下を条件に追加。</t>
  </si>
  <si>
    <t>　AND　カードテーブル.カードパワー　＞＝　パワー最小値</t>
  </si>
  <si>
    <t>⑩「パワー最大値」が空でない場合、以下を条件に追加。</t>
  </si>
  <si>
    <t>　AND　カードテーブル.カードパワー　＜＝　パワー最大値</t>
  </si>
  <si>
    <t>⑪「色」が空でない場合</t>
  </si>
  <si>
    <t>お知らせ</t>
    <rPh sb="1" eb="2">
      <t>シ</t>
    </rPh>
    <phoneticPr fontId="3"/>
  </si>
  <si>
    <t>1-4</t>
  </si>
  <si>
    <t>1-5</t>
  </si>
  <si>
    <t>1-6</t>
  </si>
  <si>
    <t>1-7</t>
  </si>
  <si>
    <t>1-8</t>
  </si>
  <si>
    <t>1-9</t>
  </si>
  <si>
    <t>マイメニュー</t>
    <phoneticPr fontId="3"/>
  </si>
  <si>
    <t>1-10</t>
  </si>
  <si>
    <t>マイメニュー遷移</t>
    <rPh sb="6" eb="8">
      <t>センイ</t>
    </rPh>
    <phoneticPr fontId="3"/>
  </si>
  <si>
    <t>お知らせ遷移</t>
    <rPh sb="1" eb="2">
      <t>シ</t>
    </rPh>
    <rPh sb="4" eb="6">
      <t>センイ</t>
    </rPh>
    <phoneticPr fontId="3"/>
  </si>
  <si>
    <t>マイメニュー初期表示処理を呼び出す。</t>
    <rPh sb="6" eb="10">
      <t>ショキヒョウジ</t>
    </rPh>
    <rPh sb="10" eb="12">
      <t>ショリ</t>
    </rPh>
    <rPh sb="13" eb="14">
      <t>ヨ</t>
    </rPh>
    <rPh sb="15" eb="16">
      <t>ダ</t>
    </rPh>
    <phoneticPr fontId="3"/>
  </si>
  <si>
    <t>お知らせ初期表示処理を呼び出す</t>
    <rPh sb="1" eb="2">
      <t>シ</t>
    </rPh>
    <rPh sb="4" eb="8">
      <t>ショキヒョウジ</t>
    </rPh>
    <rPh sb="8" eb="10">
      <t>ショリ</t>
    </rPh>
    <rPh sb="11" eb="12">
      <t>ヨ</t>
    </rPh>
    <rPh sb="13" eb="14">
      <t>ダ</t>
    </rPh>
    <phoneticPr fontId="3"/>
  </si>
  <si>
    <t>50桁</t>
    <rPh sb="2" eb="3">
      <t>ケタ</t>
    </rPh>
    <phoneticPr fontId="3"/>
  </si>
  <si>
    <t>全半角文字数字</t>
    <rPh sb="0" eb="3">
      <t>ゼンハンカク</t>
    </rPh>
    <rPh sb="3" eb="5">
      <t>モジ</t>
    </rPh>
    <rPh sb="5" eb="7">
      <t>スウジ</t>
    </rPh>
    <phoneticPr fontId="3"/>
  </si>
  <si>
    <t>表示用ラベル</t>
    <phoneticPr fontId="3"/>
  </si>
  <si>
    <t>最大桁数</t>
    <rPh sb="0" eb="2">
      <t>サイダイ</t>
    </rPh>
    <rPh sb="2" eb="4">
      <t>ケタスウ</t>
    </rPh>
    <phoneticPr fontId="3"/>
  </si>
  <si>
    <t>BSPS</t>
    <phoneticPr fontId="3"/>
  </si>
  <si>
    <t>BSPSFRPK01</t>
  </si>
  <si>
    <t>BSPSFRPK01</t>
    <phoneticPr fontId="3"/>
  </si>
  <si>
    <t>ユーザー名押下時</t>
    <rPh sb="4" eb="5">
      <t>メイ</t>
    </rPh>
    <rPh sb="5" eb="7">
      <t>オウカ</t>
    </rPh>
    <rPh sb="7" eb="8">
      <t>ジ</t>
    </rPh>
    <phoneticPr fontId="3"/>
  </si>
  <si>
    <t>画面内</t>
    <rPh sb="0" eb="2">
      <t>ガメン</t>
    </rPh>
    <rPh sb="2" eb="3">
      <t>ナイ</t>
    </rPh>
    <phoneticPr fontId="3"/>
  </si>
  <si>
    <t>カード検索押下時</t>
    <rPh sb="2" eb="4">
      <t>ケンサク</t>
    </rPh>
    <rPh sb="4" eb="6">
      <t>オウカ</t>
    </rPh>
    <rPh sb="6" eb="7">
      <t>ジ</t>
    </rPh>
    <phoneticPr fontId="3"/>
  </si>
  <si>
    <t>画面間</t>
    <rPh sb="0" eb="2">
      <t>ガメン</t>
    </rPh>
    <rPh sb="2" eb="3">
      <t>カン</t>
    </rPh>
    <phoneticPr fontId="3"/>
  </si>
  <si>
    <t>ログアウト押下時</t>
    <rPh sb="5" eb="8">
      <t>オウカジ</t>
    </rPh>
    <phoneticPr fontId="3"/>
  </si>
  <si>
    <t>マイプロフィール押下時</t>
    <rPh sb="8" eb="10">
      <t>オウカ</t>
    </rPh>
    <rPh sb="10" eb="11">
      <t>ジ</t>
    </rPh>
    <phoneticPr fontId="3"/>
  </si>
  <si>
    <t>マイフレンド押下時</t>
    <rPh sb="6" eb="8">
      <t>オウカ</t>
    </rPh>
    <rPh sb="8" eb="9">
      <t>ジ</t>
    </rPh>
    <phoneticPr fontId="3"/>
  </si>
  <si>
    <t>対戦履歴押下時</t>
    <rPh sb="0" eb="2">
      <t>タイセン</t>
    </rPh>
    <rPh sb="2" eb="4">
      <t>リレキ</t>
    </rPh>
    <rPh sb="4" eb="6">
      <t>オウカ</t>
    </rPh>
    <rPh sb="6" eb="7">
      <t>ジ</t>
    </rPh>
    <phoneticPr fontId="3"/>
  </si>
  <si>
    <t>マイデッキ押下時</t>
    <rPh sb="5" eb="7">
      <t>オウカ</t>
    </rPh>
    <rPh sb="7" eb="8">
      <t>ジ</t>
    </rPh>
    <phoneticPr fontId="3"/>
  </si>
  <si>
    <t>お知らせ押下時</t>
    <rPh sb="1" eb="2">
      <t>シ</t>
    </rPh>
    <rPh sb="4" eb="6">
      <t>オウカ</t>
    </rPh>
    <rPh sb="6" eb="7">
      <t>ジ</t>
    </rPh>
    <phoneticPr fontId="3"/>
  </si>
  <si>
    <t>マイメニュー押下時</t>
    <rPh sb="6" eb="8">
      <t>オウカ</t>
    </rPh>
    <rPh sb="8" eb="9">
      <t>ジ</t>
    </rPh>
    <phoneticPr fontId="3"/>
  </si>
  <si>
    <t>ログインボタン押下時</t>
    <rPh sb="7" eb="9">
      <t>オウカ</t>
    </rPh>
    <rPh sb="9" eb="10">
      <t>ジ</t>
    </rPh>
    <phoneticPr fontId="3"/>
  </si>
  <si>
    <t>セッションのユーザー情報を取得しなおす</t>
    <rPh sb="10" eb="12">
      <t>ジョウホウ</t>
    </rPh>
    <rPh sb="13" eb="15">
      <t>シュトク</t>
    </rPh>
    <phoneticPr fontId="3"/>
  </si>
  <si>
    <t>サイトTOP</t>
    <phoneticPr fontId="3"/>
  </si>
  <si>
    <t>カード検索用リスト取得API</t>
  </si>
  <si>
    <t>ユーザー取得API</t>
    <phoneticPr fontId="3"/>
  </si>
  <si>
    <t>本画面にリダイレクト遷移した時</t>
    <rPh sb="14" eb="15">
      <t>トキ</t>
    </rPh>
    <phoneticPr fontId="3"/>
  </si>
  <si>
    <t>呼び出しAPI</t>
    <rPh sb="0" eb="1">
      <t>ヨ</t>
    </rPh>
    <rPh sb="2" eb="3">
      <t>ダ</t>
    </rPh>
    <phoneticPr fontId="3"/>
  </si>
  <si>
    <t>呼び出し処理名</t>
    <rPh sb="0" eb="1">
      <t>ヨ</t>
    </rPh>
    <rPh sb="2" eb="3">
      <t>ダ</t>
    </rPh>
    <rPh sb="4" eb="6">
      <t>ショリ</t>
    </rPh>
    <rPh sb="6" eb="7">
      <t>メイ</t>
    </rPh>
    <phoneticPr fontId="3"/>
  </si>
  <si>
    <t>イベント名</t>
    <rPh sb="4" eb="5">
      <t>メイ</t>
    </rPh>
    <phoneticPr fontId="3"/>
  </si>
  <si>
    <t>イベントID</t>
    <phoneticPr fontId="3"/>
  </si>
  <si>
    <t>画面間/画面内</t>
    <rPh sb="0" eb="2">
      <t>ガメン</t>
    </rPh>
    <rPh sb="2" eb="3">
      <t>カン</t>
    </rPh>
    <rPh sb="4" eb="6">
      <t>ガメン</t>
    </rPh>
    <rPh sb="6" eb="7">
      <t>ナイ</t>
    </rPh>
    <phoneticPr fontId="3"/>
  </si>
  <si>
    <t>イベント定義</t>
    <rPh sb="4" eb="6">
      <t>テイギ</t>
    </rPh>
    <phoneticPr fontId="3"/>
  </si>
  <si>
    <t>「BSPSBCPK0101_共通エリア初期表示」を呼び出す。</t>
    <rPh sb="25" eb="26">
      <t>ヨ</t>
    </rPh>
    <rPh sb="27" eb="28">
      <t>ダ</t>
    </rPh>
    <phoneticPr fontId="3"/>
  </si>
  <si>
    <t>BSPSBCPK01_B01_共通エリア初期表示</t>
  </si>
  <si>
    <t>BSPSFRPK01_BS02</t>
  </si>
  <si>
    <t>BSPSFRPK01_B02_サイトTOP遷移</t>
    <rPh sb="21" eb="23">
      <t>センイ</t>
    </rPh>
    <phoneticPr fontId="3"/>
  </si>
  <si>
    <t>BSPSFRPK01_BS03</t>
  </si>
  <si>
    <t>BSPSFRPK01_B03_ログイン遷移</t>
  </si>
  <si>
    <t>BSPSFRPK01_BS04</t>
  </si>
  <si>
    <t>BSPSFRPK01_BS05</t>
  </si>
  <si>
    <t>BSPSFRPK01_BS06</t>
  </si>
  <si>
    <t>BSPSFRPK01_BS07</t>
  </si>
  <si>
    <t>BSPSFRPK01_BS08</t>
  </si>
  <si>
    <t>BSPSFRPK01_BS09</t>
  </si>
  <si>
    <t>BSPSFRPK01_BS10</t>
  </si>
  <si>
    <t xml:space="preserve">「BSPSBCPK0102_ログアウト処理」を呼び出す。
※セッションをすべて破棄し、
ログイン画面へリダイレクトする。
</t>
    <rPh sb="19" eb="21">
      <t>ショリ</t>
    </rPh>
    <phoneticPr fontId="3"/>
  </si>
  <si>
    <t>BSPSFRPK01_BS11</t>
  </si>
  <si>
    <t xml:space="preserve">「BSPSFRPK0103_カード検索処理」を呼び出す。
※セッションをすべて破棄し、
ログイン画面へリダイレクトする。
</t>
    <rPh sb="23" eb="24">
      <t>ヨ</t>
    </rPh>
    <rPh sb="25" eb="26">
      <t>ダ</t>
    </rPh>
    <phoneticPr fontId="3"/>
  </si>
  <si>
    <t>BSPSFRPK01_IS01</t>
  </si>
  <si>
    <t>BSPSBCPK0101</t>
  </si>
  <si>
    <t>BSPSBCPK0101Servlet</t>
  </si>
  <si>
    <t>マイメニュー</t>
    <phoneticPr fontId="3"/>
  </si>
  <si>
    <t>お知らせ・通知一覧</t>
    <rPh sb="1" eb="2">
      <t>シ</t>
    </rPh>
    <rPh sb="5" eb="7">
      <t>ツウチ</t>
    </rPh>
    <rPh sb="7" eb="9">
      <t>イチラン</t>
    </rPh>
    <phoneticPr fontId="3"/>
  </si>
  <si>
    <t>マイデッキ</t>
    <phoneticPr fontId="3"/>
  </si>
  <si>
    <t>マイフレンド一覧</t>
    <rPh sb="6" eb="8">
      <t>イチラン</t>
    </rPh>
    <phoneticPr fontId="3"/>
  </si>
  <si>
    <t>マイプロフィール</t>
    <phoneticPr fontId="3"/>
  </si>
  <si>
    <t>対戦履歴一覧</t>
    <rPh sb="0" eb="2">
      <t>タイセン</t>
    </rPh>
    <rPh sb="2" eb="4">
      <t>リレキ</t>
    </rPh>
    <rPh sb="4" eb="6">
      <t>イチラン</t>
    </rPh>
    <phoneticPr fontId="3"/>
  </si>
  <si>
    <t>ログアウト</t>
    <phoneticPr fontId="3"/>
  </si>
  <si>
    <t>カード一覧</t>
    <rPh sb="3" eb="5">
      <t>イチラン</t>
    </rPh>
    <phoneticPr fontId="3"/>
  </si>
  <si>
    <t>セッション初期化処理を実施</t>
    <rPh sb="5" eb="8">
      <t>ショキカ</t>
    </rPh>
    <rPh sb="8" eb="10">
      <t>ショリ</t>
    </rPh>
    <rPh sb="11" eb="13">
      <t>ジッシ</t>
    </rPh>
    <phoneticPr fontId="3"/>
  </si>
  <si>
    <t>jp.co.battleSimulationPortalSite.controller.pk</t>
    <phoneticPr fontId="3"/>
  </si>
  <si>
    <t>BSPSFRPK01_BS01</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</si>
</sst>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Red]\(0.0\)"/>
    <numFmt numFmtId="177" formatCode="0.0"/>
  </numFmts>
  <fonts count="11" x14ac:knownFonts="1">
    <font>
      <sz val="11"/>
      <color theme="1"/>
      <name val="ＭＳ Ｐゴシック"/>
      <family val="2"/>
      <scheme val="minor"/>
    </font>
    <font>
      <sz val="11"/>
      <color theme="1"/>
      <name val="ＭＳ Ｐゴシック"/>
      <family val="2"/>
      <charset val="128"/>
      <scheme val="minor"/>
    </font>
    <font>
      <sz val="11"/>
      <color theme="1"/>
      <name val="ＭＳ ゴシック"/>
      <family val="3"/>
      <charset val="128"/>
    </font>
    <font>
      <sz val="6"/>
      <name val="ＭＳ Ｐゴシック"/>
      <family val="3"/>
      <charset val="128"/>
      <scheme val="minor"/>
    </font>
    <font>
      <sz val="11"/>
      <name val="ＭＳ ゴシック"/>
      <family val="3"/>
      <charset val="128"/>
    </font>
    <font>
      <sz val="12"/>
      <name val="ＭＳ ゴシック"/>
      <family val="3"/>
      <charset val="128"/>
    </font>
    <font>
      <sz val="6"/>
      <name val="ＭＳ Ｐゴシック"/>
      <family val="2"/>
      <charset val="128"/>
      <scheme val="minor"/>
    </font>
    <font>
      <sz val="11"/>
      <name val="ＭＳ Ｐゴシック"/>
      <family val="3"/>
      <charset val="128"/>
    </font>
    <font>
      <u/>
      <sz val="10"/>
      <color indexed="14"/>
      <name val="MS Sans Serif"/>
      <family val="2"/>
    </font>
    <font>
      <u/>
      <sz val="8"/>
      <color indexed="12"/>
      <name val="Times New Roman"/>
      <family val="1"/>
    </font>
    <font>
      <b/>
      <sz val="11"/>
      <color theme="1"/>
      <name val="ＭＳ ゴシック"/>
      <family val="3"/>
      <charset val="128"/>
    </font>
  </fonts>
  <fills count="6">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s>
  <borders count="2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thin">
        <color indexed="64"/>
      </top>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7">
    <xf numFmtId="0" fontId="0" fillId="0" borderId="0"/>
    <xf numFmtId="0" fontId="7" fillId="0" borderId="0"/>
    <xf numFmtId="0" fontId="8" fillId="0" borderId="0" applyNumberFormat="0" applyFill="0" applyBorder="0" applyAlignment="0" applyProtection="0"/>
    <xf numFmtId="0" fontId="9" fillId="0" borderId="0" applyNumberFormat="0" applyFill="0" applyBorder="0" applyAlignment="0" applyProtection="0">
      <alignment vertical="top"/>
      <protection locked="0"/>
    </xf>
    <xf numFmtId="0" fontId="7" fillId="0" borderId="0"/>
    <xf numFmtId="0" fontId="7" fillId="0" borderId="0">
      <alignment vertical="center"/>
    </xf>
    <xf numFmtId="0" fontId="1" fillId="0" borderId="0">
      <alignment vertical="center"/>
    </xf>
  </cellStyleXfs>
  <cellXfs count="172">
    <xf numFmtId="0" fontId="0" fillId="0" borderId="0" xfId="0"/>
    <xf numFmtId="0" fontId="2" fillId="0" borderId="0" xfId="0" applyFont="1"/>
    <xf numFmtId="0" fontId="2" fillId="0" borderId="1" xfId="0" applyFont="1" applyBorder="1"/>
    <xf numFmtId="0" fontId="2" fillId="0" borderId="5" xfId="0" applyFont="1" applyBorder="1"/>
    <xf numFmtId="0" fontId="2" fillId="0" borderId="2" xfId="0" applyFont="1" applyBorder="1"/>
    <xf numFmtId="0" fontId="2" fillId="0" borderId="3" xfId="0" applyFont="1" applyBorder="1"/>
    <xf numFmtId="0" fontId="2" fillId="0" borderId="4" xfId="0" applyFont="1" applyBorder="1"/>
    <xf numFmtId="0" fontId="4" fillId="0" borderId="0" xfId="0" applyFont="1"/>
    <xf numFmtId="0" fontId="4" fillId="0" borderId="0" xfId="0" applyFont="1" applyAlignment="1">
      <alignment vertical="center"/>
    </xf>
    <xf numFmtId="0" fontId="2" fillId="0" borderId="0" xfId="0" applyFont="1" applyAlignment="1">
      <alignment vertical="center"/>
    </xf>
    <xf numFmtId="0" fontId="2" fillId="0" borderId="11" xfId="0" applyFont="1" applyBorder="1"/>
    <xf numFmtId="0" fontId="2" fillId="0" borderId="6" xfId="0" applyFont="1" applyBorder="1"/>
    <xf numFmtId="0" fontId="2" fillId="0" borderId="7" xfId="0" applyFont="1" applyBorder="1"/>
    <xf numFmtId="0" fontId="10" fillId="0" borderId="0" xfId="0" applyFont="1"/>
    <xf numFmtId="0" fontId="5" fillId="0" borderId="0" xfId="0" applyFont="1" applyAlignment="1">
      <alignment vertical="center"/>
    </xf>
    <xf numFmtId="0" fontId="2" fillId="0" borderId="0" xfId="0" applyFont="1" applyAlignment="1">
      <alignment horizontal="left" vertical="top" wrapText="1"/>
    </xf>
    <xf numFmtId="0" fontId="2" fillId="0" borderId="8" xfId="0" applyFont="1" applyBorder="1" applyAlignment="1">
      <alignment vertical="center"/>
    </xf>
    <xf numFmtId="0" fontId="2" fillId="4" borderId="8" xfId="0" applyFont="1" applyFill="1" applyBorder="1" applyAlignment="1">
      <alignment vertical="center"/>
    </xf>
    <xf numFmtId="0" fontId="2" fillId="0" borderId="0" xfId="0" applyFont="1" applyAlignment="1">
      <alignment horizontal="left" vertical="center"/>
    </xf>
    <xf numFmtId="0" fontId="2" fillId="5" borderId="8" xfId="0" applyFont="1" applyFill="1" applyBorder="1" applyAlignment="1">
      <alignment vertical="top" wrapText="1"/>
    </xf>
    <xf numFmtId="0" fontId="2" fillId="5" borderId="8" xfId="0" quotePrefix="1" applyFont="1" applyFill="1" applyBorder="1" applyAlignment="1">
      <alignment vertical="top" wrapText="1"/>
    </xf>
    <xf numFmtId="0" fontId="2" fillId="0" borderId="0" xfId="0" applyFont="1" applyAlignment="1">
      <alignment vertical="top"/>
    </xf>
    <xf numFmtId="0" fontId="2" fillId="0" borderId="0" xfId="0" applyFont="1" applyAlignment="1">
      <alignment horizontal="left" vertical="center" wrapText="1"/>
    </xf>
    <xf numFmtId="0" fontId="2" fillId="0" borderId="0" xfId="0" applyFont="1" applyAlignment="1">
      <alignment wrapText="1"/>
    </xf>
    <xf numFmtId="0" fontId="10" fillId="0" borderId="0" xfId="0" applyFont="1" applyAlignment="1">
      <alignment wrapText="1"/>
    </xf>
    <xf numFmtId="0" fontId="2" fillId="0" borderId="0" xfId="0" applyFont="1" applyAlignment="1">
      <alignment vertical="center" wrapText="1"/>
    </xf>
    <xf numFmtId="14" fontId="2" fillId="0" borderId="0" xfId="0" applyNumberFormat="1" applyFont="1"/>
    <xf numFmtId="0" fontId="2" fillId="0" borderId="0" xfId="0" quotePrefix="1" applyFont="1" applyAlignment="1">
      <alignment horizontal="left" vertical="top"/>
    </xf>
    <xf numFmtId="0" fontId="2" fillId="0" borderId="0" xfId="0" applyFont="1" applyAlignment="1">
      <alignment horizontal="left" vertical="top"/>
    </xf>
    <xf numFmtId="0" fontId="2" fillId="0" borderId="2" xfId="0" applyFont="1" applyBorder="1" applyAlignment="1">
      <alignment vertical="top"/>
    </xf>
    <xf numFmtId="0" fontId="2" fillId="0" borderId="3" xfId="0" applyFont="1" applyBorder="1" applyAlignment="1">
      <alignment vertical="top"/>
    </xf>
    <xf numFmtId="0" fontId="2" fillId="0" borderId="4" xfId="0" applyFont="1" applyBorder="1" applyAlignment="1">
      <alignment vertical="top"/>
    </xf>
    <xf numFmtId="0" fontId="2" fillId="4" borderId="12" xfId="0" applyFont="1" applyFill="1" applyBorder="1" applyAlignment="1">
      <alignment vertical="top"/>
    </xf>
    <xf numFmtId="0" fontId="2" fillId="4" borderId="9" xfId="0" applyFont="1" applyFill="1" applyBorder="1" applyAlignment="1">
      <alignment vertical="top"/>
    </xf>
    <xf numFmtId="0" fontId="2" fillId="4" borderId="10" xfId="0" applyFont="1" applyFill="1" applyBorder="1" applyAlignment="1">
      <alignment vertical="top"/>
    </xf>
    <xf numFmtId="0" fontId="2" fillId="0" borderId="12" xfId="0" applyFont="1" applyBorder="1" applyAlignment="1">
      <alignment vertical="top"/>
    </xf>
    <xf numFmtId="0" fontId="2" fillId="0" borderId="9" xfId="0" applyFont="1" applyBorder="1" applyAlignment="1">
      <alignment vertical="top"/>
    </xf>
    <xf numFmtId="0" fontId="2" fillId="0" borderId="10" xfId="0" applyFont="1" applyBorder="1" applyAlignment="1">
      <alignment vertical="top"/>
    </xf>
    <xf numFmtId="0" fontId="2" fillId="3" borderId="12" xfId="0" applyFont="1" applyFill="1" applyBorder="1" applyAlignment="1">
      <alignment vertical="top"/>
    </xf>
    <xf numFmtId="0" fontId="2" fillId="3" borderId="9" xfId="0" applyFont="1" applyFill="1" applyBorder="1" applyAlignment="1">
      <alignment vertical="top"/>
    </xf>
    <xf numFmtId="0" fontId="2" fillId="3" borderId="10" xfId="0" applyFont="1" applyFill="1" applyBorder="1" applyAlignment="1">
      <alignment vertical="top"/>
    </xf>
    <xf numFmtId="0" fontId="2" fillId="5" borderId="12" xfId="0" applyFont="1" applyFill="1" applyBorder="1" applyAlignment="1">
      <alignment vertical="top"/>
    </xf>
    <xf numFmtId="0" fontId="2" fillId="5" borderId="9" xfId="0" applyFont="1" applyFill="1" applyBorder="1" applyAlignment="1">
      <alignment vertical="top"/>
    </xf>
    <xf numFmtId="0" fontId="2" fillId="5" borderId="10" xfId="0" applyFont="1" applyFill="1" applyBorder="1" applyAlignment="1">
      <alignment vertical="top"/>
    </xf>
    <xf numFmtId="0" fontId="2" fillId="0" borderId="1" xfId="0" applyFont="1" applyBorder="1" applyAlignment="1">
      <alignment vertical="top"/>
    </xf>
    <xf numFmtId="0" fontId="2" fillId="0" borderId="5" xfId="0" applyFont="1" applyBorder="1" applyAlignment="1">
      <alignment vertical="top"/>
    </xf>
    <xf numFmtId="0" fontId="2" fillId="5" borderId="13" xfId="0" applyFont="1" applyFill="1" applyBorder="1" applyAlignment="1">
      <alignment vertical="top"/>
    </xf>
    <xf numFmtId="0" fontId="2" fillId="5" borderId="14" xfId="0" applyFont="1" applyFill="1" applyBorder="1" applyAlignment="1">
      <alignment vertical="top"/>
    </xf>
    <xf numFmtId="0" fontId="2" fillId="5" borderId="15" xfId="0" applyFont="1" applyFill="1" applyBorder="1" applyAlignment="1">
      <alignment vertical="top"/>
    </xf>
    <xf numFmtId="0" fontId="2" fillId="0" borderId="16" xfId="0" applyFont="1" applyBorder="1" applyAlignment="1">
      <alignment vertical="top"/>
    </xf>
    <xf numFmtId="0" fontId="2" fillId="0" borderId="17" xfId="0" applyFont="1" applyBorder="1" applyAlignment="1">
      <alignment vertical="top"/>
    </xf>
    <xf numFmtId="0" fontId="2" fillId="0" borderId="18" xfId="0" applyFont="1" applyBorder="1" applyAlignment="1">
      <alignment vertical="top"/>
    </xf>
    <xf numFmtId="0" fontId="2" fillId="4" borderId="13" xfId="0" applyFont="1" applyFill="1" applyBorder="1" applyAlignment="1">
      <alignment vertical="top"/>
    </xf>
    <xf numFmtId="0" fontId="2" fillId="4" borderId="14" xfId="0" applyFont="1" applyFill="1" applyBorder="1" applyAlignment="1">
      <alignment vertical="top"/>
    </xf>
    <xf numFmtId="0" fontId="2" fillId="4" borderId="15" xfId="0" applyFont="1" applyFill="1" applyBorder="1" applyAlignment="1">
      <alignment vertical="top"/>
    </xf>
    <xf numFmtId="0" fontId="2" fillId="3" borderId="13" xfId="0" applyFont="1" applyFill="1" applyBorder="1" applyAlignment="1">
      <alignment vertical="top"/>
    </xf>
    <xf numFmtId="0" fontId="2" fillId="3" borderId="14" xfId="0" applyFont="1" applyFill="1" applyBorder="1" applyAlignment="1">
      <alignment vertical="top"/>
    </xf>
    <xf numFmtId="0" fontId="2" fillId="3" borderId="15" xfId="0" applyFont="1" applyFill="1" applyBorder="1" applyAlignment="1">
      <alignment vertical="top"/>
    </xf>
    <xf numFmtId="0" fontId="2" fillId="2" borderId="8" xfId="0" applyFont="1" applyFill="1" applyBorder="1" applyAlignment="1">
      <alignment horizontal="center" vertical="center"/>
    </xf>
    <xf numFmtId="0" fontId="2" fillId="0" borderId="8" xfId="0" applyFont="1" applyBorder="1" applyAlignment="1">
      <alignment horizontal="center" vertical="center"/>
    </xf>
    <xf numFmtId="14" fontId="2" fillId="0" borderId="8" xfId="0" applyNumberFormat="1" applyFont="1" applyBorder="1" applyAlignment="1">
      <alignment horizontal="center" vertical="center"/>
    </xf>
    <xf numFmtId="176" fontId="2" fillId="0" borderId="8" xfId="0" applyNumberFormat="1" applyFont="1" applyBorder="1" applyAlignment="1">
      <alignment horizontal="center" vertical="center"/>
    </xf>
    <xf numFmtId="0" fontId="2" fillId="0" borderId="12" xfId="0" applyFont="1" applyBorder="1" applyAlignment="1">
      <alignment horizontal="center" vertical="center"/>
    </xf>
    <xf numFmtId="0" fontId="2" fillId="2" borderId="12" xfId="0" applyFont="1" applyFill="1" applyBorder="1" applyAlignment="1">
      <alignment horizontal="center" vertical="center"/>
    </xf>
    <xf numFmtId="0" fontId="2" fillId="0" borderId="8" xfId="0" applyFont="1" applyBorder="1" applyAlignment="1">
      <alignment horizontal="left" vertical="center"/>
    </xf>
    <xf numFmtId="0" fontId="2" fillId="4" borderId="8" xfId="0" applyFont="1" applyFill="1" applyBorder="1" applyAlignment="1">
      <alignment horizontal="left" vertical="center"/>
    </xf>
    <xf numFmtId="0" fontId="2" fillId="4" borderId="8" xfId="0" applyFont="1" applyFill="1" applyBorder="1" applyAlignment="1">
      <alignment horizontal="center" vertical="center"/>
    </xf>
    <xf numFmtId="0" fontId="2" fillId="2" borderId="8" xfId="0" applyFont="1" applyFill="1" applyBorder="1" applyAlignment="1">
      <alignment horizontal="center" vertical="top" wrapText="1"/>
    </xf>
    <xf numFmtId="14" fontId="2" fillId="0" borderId="12" xfId="0" applyNumberFormat="1" applyFont="1" applyBorder="1" applyAlignment="1">
      <alignment horizontal="center" vertical="center" wrapText="1"/>
    </xf>
    <xf numFmtId="0" fontId="2" fillId="0" borderId="12" xfId="0" applyFont="1" applyBorder="1" applyAlignment="1">
      <alignment horizontal="center" vertical="center" wrapText="1"/>
    </xf>
    <xf numFmtId="56" fontId="2" fillId="0" borderId="8" xfId="0" quotePrefix="1" applyNumberFormat="1" applyFont="1" applyBorder="1" applyAlignment="1">
      <alignment horizontal="left" vertical="center"/>
    </xf>
    <xf numFmtId="56" fontId="2" fillId="4" borderId="8" xfId="0" quotePrefix="1" applyNumberFormat="1" applyFont="1" applyFill="1" applyBorder="1" applyAlignment="1">
      <alignment horizontal="left" vertical="center"/>
    </xf>
    <xf numFmtId="0" fontId="2" fillId="5" borderId="8" xfId="0" quotePrefix="1" applyFont="1" applyFill="1" applyBorder="1" applyAlignment="1">
      <alignment horizontal="center" vertical="top" wrapText="1"/>
    </xf>
    <xf numFmtId="0" fontId="2" fillId="4" borderId="12" xfId="0" applyFont="1" applyFill="1" applyBorder="1" applyAlignment="1">
      <alignment horizontal="center" vertical="center"/>
    </xf>
    <xf numFmtId="0" fontId="2" fillId="3" borderId="12" xfId="0" applyFont="1" applyFill="1" applyBorder="1" applyAlignment="1">
      <alignment horizontal="center" vertical="top" wrapText="1"/>
    </xf>
    <xf numFmtId="0" fontId="2" fillId="0" borderId="0" xfId="0" applyFont="1" applyBorder="1" applyAlignment="1">
      <alignment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2" borderId="8" xfId="0" applyFont="1" applyFill="1" applyBorder="1" applyAlignment="1">
      <alignment horizontal="center" vertical="center"/>
    </xf>
    <xf numFmtId="0" fontId="2" fillId="0" borderId="8" xfId="0" applyFont="1" applyBorder="1" applyAlignment="1">
      <alignment horizontal="center" vertical="center"/>
    </xf>
    <xf numFmtId="14" fontId="2" fillId="0" borderId="8" xfId="0" applyNumberFormat="1" applyFont="1" applyBorder="1" applyAlignment="1">
      <alignment horizontal="center" vertical="center"/>
    </xf>
    <xf numFmtId="176" fontId="2" fillId="0" borderId="8" xfId="0" applyNumberFormat="1" applyFont="1" applyBorder="1" applyAlignment="1">
      <alignment horizontal="center" vertical="center"/>
    </xf>
    <xf numFmtId="0" fontId="2" fillId="0" borderId="12" xfId="0" applyFont="1" applyBorder="1" applyAlignment="1">
      <alignment horizontal="center" vertical="center"/>
    </xf>
    <xf numFmtId="0" fontId="2" fillId="2" borderId="12" xfId="0" applyFont="1" applyFill="1" applyBorder="1" applyAlignment="1">
      <alignment horizontal="center" vertical="center"/>
    </xf>
    <xf numFmtId="0" fontId="2" fillId="0" borderId="12" xfId="0" applyFont="1" applyBorder="1" applyAlignment="1">
      <alignment horizontal="left" vertical="center"/>
    </xf>
    <xf numFmtId="0" fontId="2" fillId="2" borderId="12" xfId="0" applyFont="1" applyFill="1" applyBorder="1" applyAlignment="1">
      <alignment horizontal="center" vertical="top" wrapText="1"/>
    </xf>
    <xf numFmtId="0" fontId="2" fillId="0" borderId="12" xfId="0" applyFont="1" applyBorder="1" applyAlignment="1">
      <alignment horizontal="left" vertical="center" wrapText="1"/>
    </xf>
    <xf numFmtId="0" fontId="2" fillId="4" borderId="12" xfId="0" applyFont="1" applyFill="1" applyBorder="1" applyAlignment="1">
      <alignment horizontal="left" vertical="center"/>
    </xf>
    <xf numFmtId="0" fontId="2" fillId="4" borderId="12" xfId="0" applyFont="1" applyFill="1" applyBorder="1" applyAlignment="1">
      <alignment horizontal="left" vertical="center" wrapText="1"/>
    </xf>
    <xf numFmtId="0" fontId="2" fillId="2" borderId="8" xfId="0" applyFont="1" applyFill="1" applyBorder="1" applyAlignment="1">
      <alignment horizontal="center" vertical="center"/>
    </xf>
    <xf numFmtId="0" fontId="1" fillId="0" borderId="0" xfId="6">
      <alignment vertical="center"/>
    </xf>
    <xf numFmtId="0" fontId="2" fillId="0" borderId="0" xfId="6" applyFont="1" applyAlignment="1">
      <alignment vertical="top"/>
    </xf>
    <xf numFmtId="0" fontId="2" fillId="0" borderId="0" xfId="6" applyFont="1">
      <alignment vertical="center"/>
    </xf>
    <xf numFmtId="0" fontId="4" fillId="0" borderId="0" xfId="6" applyFont="1" applyAlignment="1">
      <alignment vertical="top" wrapText="1"/>
    </xf>
    <xf numFmtId="0" fontId="2" fillId="0" borderId="8" xfId="6" applyFont="1" applyBorder="1" applyAlignment="1">
      <alignment vertical="center" wrapText="1"/>
    </xf>
    <xf numFmtId="0" fontId="2" fillId="0" borderId="8" xfId="6" applyFont="1" applyBorder="1" applyAlignment="1">
      <alignment vertical="top" wrapText="1"/>
    </xf>
    <xf numFmtId="0" fontId="4" fillId="0" borderId="8" xfId="6" applyFont="1" applyBorder="1" applyAlignment="1">
      <alignment vertical="top" wrapText="1"/>
    </xf>
    <xf numFmtId="0" fontId="4" fillId="0" borderId="8" xfId="6" applyFont="1" applyBorder="1" applyAlignment="1">
      <alignment vertical="center" wrapText="1"/>
    </xf>
    <xf numFmtId="0" fontId="2" fillId="0" borderId="8" xfId="6" quotePrefix="1" applyFont="1" applyBorder="1" applyAlignment="1">
      <alignment vertical="top" wrapText="1"/>
    </xf>
    <xf numFmtId="0" fontId="4" fillId="0" borderId="19" xfId="6" applyFont="1" applyBorder="1" applyAlignment="1">
      <alignment vertical="top" wrapText="1"/>
    </xf>
    <xf numFmtId="0" fontId="2" fillId="0" borderId="20" xfId="6" applyFont="1" applyBorder="1" applyAlignment="1">
      <alignment vertical="center" wrapText="1"/>
    </xf>
    <xf numFmtId="0" fontId="2" fillId="0" borderId="12" xfId="6" applyFont="1" applyBorder="1" applyAlignment="1">
      <alignment vertical="center" wrapText="1"/>
    </xf>
    <xf numFmtId="0" fontId="4" fillId="0" borderId="20" xfId="6" applyFont="1" applyBorder="1" applyAlignment="1">
      <alignment vertical="top" wrapText="1"/>
    </xf>
    <xf numFmtId="0" fontId="4" fillId="0" borderId="20" xfId="6" applyFont="1" applyBorder="1" applyAlignment="1">
      <alignment vertical="center" wrapText="1"/>
    </xf>
    <xf numFmtId="0" fontId="2" fillId="0" borderId="19" xfId="6" applyFont="1" applyBorder="1" applyAlignment="1">
      <alignment vertical="center" wrapText="1"/>
    </xf>
    <xf numFmtId="0" fontId="4" fillId="0" borderId="19" xfId="6" applyFont="1" applyBorder="1" applyAlignment="1">
      <alignment vertical="center" wrapText="1"/>
    </xf>
    <xf numFmtId="0" fontId="2" fillId="0" borderId="0" xfId="6" applyFont="1" applyAlignment="1">
      <alignment horizontal="left" vertical="center" wrapText="1"/>
    </xf>
    <xf numFmtId="0" fontId="2" fillId="2" borderId="19" xfId="6" applyFont="1" applyFill="1" applyBorder="1" applyAlignment="1">
      <alignment vertical="top" wrapText="1"/>
    </xf>
    <xf numFmtId="0" fontId="2" fillId="2" borderId="8" xfId="6" applyFont="1" applyFill="1" applyBorder="1" applyAlignment="1">
      <alignment vertical="top" wrapText="1"/>
    </xf>
    <xf numFmtId="0" fontId="2" fillId="0" borderId="0" xfId="6" applyFont="1" applyAlignment="1"/>
    <xf numFmtId="0" fontId="10" fillId="0" borderId="0" xfId="6" applyFont="1" applyAlignment="1"/>
    <xf numFmtId="0" fontId="2" fillId="2" borderId="8" xfId="0" applyFont="1" applyFill="1" applyBorder="1" applyAlignment="1">
      <alignment horizontal="center" vertical="center"/>
    </xf>
    <xf numFmtId="0" fontId="2" fillId="0" borderId="8" xfId="0" applyFont="1" applyBorder="1" applyAlignment="1">
      <alignment horizontal="center" vertical="center"/>
    </xf>
    <xf numFmtId="14" fontId="2" fillId="0" borderId="8" xfId="0" applyNumberFormat="1" applyFont="1" applyBorder="1" applyAlignment="1">
      <alignment horizontal="center" vertical="center"/>
    </xf>
    <xf numFmtId="176" fontId="2" fillId="0" borderId="8" xfId="0" quotePrefix="1" applyNumberFormat="1" applyFont="1" applyBorder="1" applyAlignment="1">
      <alignment horizontal="center" vertical="center"/>
    </xf>
    <xf numFmtId="176" fontId="2" fillId="0" borderId="8" xfId="0" applyNumberFormat="1" applyFont="1" applyBorder="1" applyAlignment="1">
      <alignment horizontal="center" vertical="center"/>
    </xf>
    <xf numFmtId="0" fontId="2" fillId="0" borderId="12"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0" xfId="0" applyFont="1" applyAlignment="1">
      <alignment horizontal="center" vertical="center"/>
    </xf>
    <xf numFmtId="177" fontId="4" fillId="0" borderId="8" xfId="0" applyNumberFormat="1" applyFont="1" applyBorder="1" applyAlignment="1">
      <alignment horizontal="center" vertical="center"/>
    </xf>
    <xf numFmtId="0" fontId="4" fillId="0" borderId="8" xfId="0" applyFont="1" applyBorder="1" applyAlignment="1">
      <alignment horizontal="center" vertical="center"/>
    </xf>
    <xf numFmtId="0" fontId="4" fillId="0" borderId="8" xfId="0" applyFont="1" applyBorder="1" applyAlignment="1">
      <alignment horizontal="left" vertical="center"/>
    </xf>
    <xf numFmtId="0" fontId="4" fillId="2" borderId="8" xfId="0" applyFont="1" applyFill="1" applyBorder="1" applyAlignment="1">
      <alignment horizontal="center" vertical="center"/>
    </xf>
    <xf numFmtId="0" fontId="4" fillId="2" borderId="8" xfId="0" applyFont="1" applyFill="1" applyBorder="1" applyAlignment="1">
      <alignment horizontal="left" vertical="center"/>
    </xf>
    <xf numFmtId="14" fontId="4" fillId="0" borderId="8" xfId="0" applyNumberFormat="1" applyFont="1" applyBorder="1" applyAlignment="1">
      <alignment horizontal="center" vertical="center"/>
    </xf>
    <xf numFmtId="0" fontId="2" fillId="2" borderId="12"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0" xfId="0" applyFont="1" applyFill="1" applyBorder="1" applyAlignment="1">
      <alignment horizontal="center" vertical="center"/>
    </xf>
    <xf numFmtId="14" fontId="2" fillId="0" borderId="12" xfId="0" applyNumberFormat="1" applyFont="1" applyBorder="1" applyAlignment="1">
      <alignment horizontal="center" vertical="center"/>
    </xf>
    <xf numFmtId="14" fontId="2" fillId="0" borderId="9" xfId="0" applyNumberFormat="1" applyFont="1" applyBorder="1" applyAlignment="1">
      <alignment horizontal="center" vertical="center"/>
    </xf>
    <xf numFmtId="14" fontId="2" fillId="0" borderId="10" xfId="0" applyNumberFormat="1" applyFont="1" applyBorder="1" applyAlignment="1">
      <alignment horizontal="center" vertical="center"/>
    </xf>
    <xf numFmtId="176" fontId="2" fillId="0" borderId="12" xfId="0" applyNumberFormat="1" applyFont="1" applyBorder="1" applyAlignment="1">
      <alignment horizontal="center" vertical="center"/>
    </xf>
    <xf numFmtId="176" fontId="2" fillId="0" borderId="9" xfId="0" applyNumberFormat="1" applyFont="1" applyBorder="1" applyAlignment="1">
      <alignment horizontal="center" vertical="center"/>
    </xf>
    <xf numFmtId="176" fontId="2" fillId="0" borderId="10" xfId="0" applyNumberFormat="1" applyFont="1" applyBorder="1" applyAlignment="1">
      <alignment horizontal="center" vertical="center"/>
    </xf>
    <xf numFmtId="0" fontId="2" fillId="0" borderId="12" xfId="0" applyFont="1" applyBorder="1" applyAlignment="1">
      <alignment horizontal="left" vertical="center"/>
    </xf>
    <xf numFmtId="0" fontId="2" fillId="0" borderId="9" xfId="0" applyFont="1" applyBorder="1" applyAlignment="1">
      <alignment horizontal="left" vertical="center"/>
    </xf>
    <xf numFmtId="0" fontId="2" fillId="0" borderId="10" xfId="0" applyFont="1" applyBorder="1" applyAlignment="1">
      <alignment horizontal="left" vertical="center"/>
    </xf>
    <xf numFmtId="0" fontId="2" fillId="0" borderId="8" xfId="0" applyFont="1" applyBorder="1" applyAlignment="1">
      <alignment horizontal="left" vertical="center"/>
    </xf>
    <xf numFmtId="0" fontId="2" fillId="2" borderId="8" xfId="0" applyFont="1" applyFill="1" applyBorder="1" applyAlignment="1">
      <alignment horizontal="left" vertical="top" wrapText="1"/>
    </xf>
    <xf numFmtId="0" fontId="2" fillId="0" borderId="8" xfId="0" applyFont="1" applyBorder="1" applyAlignment="1">
      <alignment horizontal="left" vertical="center" wrapText="1"/>
    </xf>
    <xf numFmtId="0" fontId="2" fillId="2" borderId="12" xfId="0" applyFont="1" applyFill="1" applyBorder="1" applyAlignment="1">
      <alignment horizontal="center" vertical="top" wrapText="1"/>
    </xf>
    <xf numFmtId="0" fontId="2" fillId="2" borderId="9" xfId="0" applyFont="1" applyFill="1" applyBorder="1" applyAlignment="1">
      <alignment horizontal="center" vertical="top" wrapText="1"/>
    </xf>
    <xf numFmtId="0" fontId="2" fillId="4" borderId="8" xfId="0" applyFont="1" applyFill="1" applyBorder="1" applyAlignment="1">
      <alignment horizontal="left" vertical="center"/>
    </xf>
    <xf numFmtId="0" fontId="2" fillId="2" borderId="8" xfId="0" applyFont="1" applyFill="1" applyBorder="1" applyAlignment="1">
      <alignment horizontal="left" vertical="top"/>
    </xf>
    <xf numFmtId="0" fontId="2" fillId="2" borderId="8" xfId="0" applyFont="1" applyFill="1" applyBorder="1" applyAlignment="1">
      <alignment horizontal="center" vertical="top" wrapText="1"/>
    </xf>
    <xf numFmtId="0" fontId="2" fillId="5" borderId="8" xfId="0" applyFont="1" applyFill="1" applyBorder="1" applyAlignment="1">
      <alignment horizontal="center" vertical="center" wrapText="1"/>
    </xf>
    <xf numFmtId="0" fontId="2" fillId="5" borderId="8" xfId="0" applyFont="1" applyFill="1" applyBorder="1" applyAlignment="1">
      <alignment horizontal="center" vertical="top" wrapText="1"/>
    </xf>
    <xf numFmtId="0" fontId="2" fillId="5" borderId="12" xfId="0" applyFont="1" applyFill="1" applyBorder="1" applyAlignment="1">
      <alignment horizontal="center" vertical="top" wrapText="1"/>
    </xf>
    <xf numFmtId="0" fontId="2" fillId="5" borderId="9" xfId="0" applyFont="1" applyFill="1" applyBorder="1" applyAlignment="1">
      <alignment horizontal="center" vertical="top" wrapText="1"/>
    </xf>
    <xf numFmtId="0" fontId="2" fillId="3" borderId="8"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4" fillId="2" borderId="8" xfId="0" applyFont="1" applyFill="1" applyBorder="1" applyAlignment="1">
      <alignment horizontal="left" vertical="top"/>
    </xf>
    <xf numFmtId="0" fontId="4" fillId="2" borderId="12" xfId="0" applyFont="1" applyFill="1" applyBorder="1" applyAlignment="1">
      <alignment horizontal="left" vertical="top"/>
    </xf>
    <xf numFmtId="0" fontId="4" fillId="2" borderId="9" xfId="0" applyFont="1" applyFill="1" applyBorder="1" applyAlignment="1">
      <alignment horizontal="left" vertical="top"/>
    </xf>
    <xf numFmtId="0" fontId="4" fillId="2" borderId="10" xfId="0" applyFont="1" applyFill="1" applyBorder="1" applyAlignment="1">
      <alignment horizontal="left" vertical="top"/>
    </xf>
    <xf numFmtId="0" fontId="2" fillId="2" borderId="12" xfId="0" applyFont="1" applyFill="1" applyBorder="1" applyAlignment="1">
      <alignment horizontal="center" vertical="top"/>
    </xf>
    <xf numFmtId="0" fontId="2" fillId="2" borderId="9" xfId="0" applyFont="1" applyFill="1" applyBorder="1" applyAlignment="1">
      <alignment horizontal="center" vertical="top"/>
    </xf>
    <xf numFmtId="0" fontId="2" fillId="2" borderId="10" xfId="0" applyFont="1" applyFill="1" applyBorder="1" applyAlignment="1">
      <alignment horizontal="center" vertical="top"/>
    </xf>
    <xf numFmtId="0" fontId="2" fillId="2" borderId="8" xfId="0" applyFont="1" applyFill="1" applyBorder="1" applyAlignment="1">
      <alignment horizontal="center" vertical="top"/>
    </xf>
    <xf numFmtId="0" fontId="2" fillId="0" borderId="12" xfId="0" quotePrefix="1" applyFont="1" applyBorder="1" applyAlignment="1">
      <alignment horizontal="center" vertical="top"/>
    </xf>
    <xf numFmtId="0" fontId="2" fillId="0" borderId="9" xfId="0" quotePrefix="1" applyFont="1" applyBorder="1" applyAlignment="1">
      <alignment horizontal="center" vertical="top"/>
    </xf>
    <xf numFmtId="0" fontId="2" fillId="0" borderId="10" xfId="0" quotePrefix="1" applyFont="1" applyBorder="1" applyAlignment="1">
      <alignment horizontal="center" vertical="top"/>
    </xf>
    <xf numFmtId="0" fontId="2" fillId="0" borderId="8" xfId="0" applyFont="1" applyBorder="1" applyAlignment="1">
      <alignment horizontal="center" vertical="top"/>
    </xf>
    <xf numFmtId="0" fontId="2" fillId="0" borderId="8" xfId="0" applyFont="1" applyBorder="1" applyAlignment="1">
      <alignment horizontal="center" vertical="center" wrapText="1"/>
    </xf>
    <xf numFmtId="14" fontId="2" fillId="0" borderId="8" xfId="0" applyNumberFormat="1" applyFont="1" applyBorder="1" applyAlignment="1">
      <alignment horizontal="center" vertical="center" wrapText="1"/>
    </xf>
    <xf numFmtId="0" fontId="2" fillId="0" borderId="12" xfId="0" applyFont="1" applyBorder="1" applyAlignment="1">
      <alignment horizontal="center" vertical="top"/>
    </xf>
    <xf numFmtId="0" fontId="2" fillId="0" borderId="9" xfId="0" applyFont="1" applyBorder="1" applyAlignment="1">
      <alignment horizontal="center" vertical="top"/>
    </xf>
    <xf numFmtId="0" fontId="2" fillId="0" borderId="10" xfId="0" applyFont="1" applyBorder="1" applyAlignment="1">
      <alignment horizontal="center" vertical="top"/>
    </xf>
  </cellXfs>
  <cellStyles count="7">
    <cellStyle name="Followed Hyperlink" xfId="2" xr:uid="{00000000-0005-0000-0000-000000000000}"/>
    <cellStyle name="Hyperlink" xfId="3" xr:uid="{00000000-0005-0000-0000-000001000000}"/>
    <cellStyle name="n" xfId="4" xr:uid="{00000000-0005-0000-0000-000002000000}"/>
    <cellStyle name="標準" xfId="0" builtinId="0"/>
    <cellStyle name="標準 10 2" xfId="5" xr:uid="{00000000-0005-0000-0000-000004000000}"/>
    <cellStyle name="標準 2" xfId="1" xr:uid="{00000000-0005-0000-0000-000005000000}"/>
    <cellStyle name="標準 3" xfId="6" xr:uid="{0558E203-1AE3-4468-AEB5-BFC64EFE9B69}"/>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9525</xdr:colOff>
      <xdr:row>12</xdr:row>
      <xdr:rowOff>76201</xdr:rowOff>
    </xdr:from>
    <xdr:to>
      <xdr:col>52</xdr:col>
      <xdr:colOff>180975</xdr:colOff>
      <xdr:row>14</xdr:row>
      <xdr:rowOff>133351</xdr:rowOff>
    </xdr:to>
    <xdr:sp macro="" textlink="">
      <xdr:nvSpPr>
        <xdr:cNvPr id="36" name="角丸四角形 35">
          <a:extLst>
            <a:ext uri="{FF2B5EF4-FFF2-40B4-BE49-F238E27FC236}">
              <a16:creationId xmlns:a16="http://schemas.microsoft.com/office/drawing/2014/main" id="{00000000-0008-0000-0300-000024000000}"/>
            </a:ext>
          </a:extLst>
        </xdr:cNvPr>
        <xdr:cNvSpPr/>
      </xdr:nvSpPr>
      <xdr:spPr>
        <a:xfrm>
          <a:off x="209550" y="1962151"/>
          <a:ext cx="10372725" cy="419100"/>
        </a:xfrm>
        <a:prstGeom prst="roundRect">
          <a:avLst>
            <a:gd name="adj" fmla="val 4743"/>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190500</xdr:colOff>
      <xdr:row>12</xdr:row>
      <xdr:rowOff>171450</xdr:rowOff>
    </xdr:from>
    <xdr:to>
      <xdr:col>51</xdr:col>
      <xdr:colOff>190500</xdr:colOff>
      <xdr:row>14</xdr:row>
      <xdr:rowOff>47625</xdr:rowOff>
    </xdr:to>
    <xdr:sp macro="" textlink="">
      <xdr:nvSpPr>
        <xdr:cNvPr id="41" name="二等辺三角形 40">
          <a:extLst>
            <a:ext uri="{FF2B5EF4-FFF2-40B4-BE49-F238E27FC236}">
              <a16:creationId xmlns:a16="http://schemas.microsoft.com/office/drawing/2014/main" id="{00000000-0008-0000-0300-000029000000}"/>
            </a:ext>
          </a:extLst>
        </xdr:cNvPr>
        <xdr:cNvSpPr/>
      </xdr:nvSpPr>
      <xdr:spPr>
        <a:xfrm rot="16200000">
          <a:off x="10172700" y="2076450"/>
          <a:ext cx="238125" cy="200025"/>
        </a:xfrm>
        <a:prstGeom prst="triangle">
          <a:avLst>
            <a:gd name="adj" fmla="val 46875"/>
          </a:avLst>
        </a:prstGeom>
        <a:solidFill>
          <a:schemeClr val="tx2">
            <a:lumMod val="5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0</xdr:col>
      <xdr:colOff>200024</xdr:colOff>
      <xdr:row>34</xdr:row>
      <xdr:rowOff>0</xdr:rowOff>
    </xdr:from>
    <xdr:to>
      <xdr:col>52</xdr:col>
      <xdr:colOff>190499</xdr:colOff>
      <xdr:row>41</xdr:row>
      <xdr:rowOff>0</xdr:rowOff>
    </xdr:to>
    <xdr:sp macro="" textlink="">
      <xdr:nvSpPr>
        <xdr:cNvPr id="23" name="テキスト ボックス 27">
          <a:extLst>
            <a:ext uri="{FF2B5EF4-FFF2-40B4-BE49-F238E27FC236}">
              <a16:creationId xmlns:a16="http://schemas.microsoft.com/office/drawing/2014/main" id="{00000000-0008-0000-0300-000017000000}"/>
            </a:ext>
          </a:extLst>
        </xdr:cNvPr>
        <xdr:cNvSpPr txBox="1"/>
      </xdr:nvSpPr>
      <xdr:spPr>
        <a:xfrm>
          <a:off x="200024" y="5676900"/>
          <a:ext cx="10391775" cy="1200150"/>
        </a:xfrm>
        <a:prstGeom prst="rect">
          <a:avLst/>
        </a:prstGeom>
        <a:solidFill>
          <a:schemeClr val="accent1">
            <a:lumMod val="75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ltLang="ja-JP" sz="800">
            <a:solidFill>
              <a:srgbClr val="0070C0"/>
            </a:solidFill>
          </a:endParaRPr>
        </a:p>
      </xdr:txBody>
    </xdr:sp>
    <xdr:clientData/>
  </xdr:twoCellAnchor>
  <xdr:twoCellAnchor>
    <xdr:from>
      <xdr:col>1</xdr:col>
      <xdr:colOff>0</xdr:colOff>
      <xdr:row>9</xdr:row>
      <xdr:rowOff>0</xdr:rowOff>
    </xdr:from>
    <xdr:to>
      <xdr:col>53</xdr:col>
      <xdr:colOff>0</xdr:colOff>
      <xdr:row>12</xdr:row>
      <xdr:rowOff>44823</xdr:rowOff>
    </xdr:to>
    <xdr:sp macro="" textlink="">
      <xdr:nvSpPr>
        <xdr:cNvPr id="24" name="角丸四角形 23">
          <a:extLst>
            <a:ext uri="{FF2B5EF4-FFF2-40B4-BE49-F238E27FC236}">
              <a16:creationId xmlns:a16="http://schemas.microsoft.com/office/drawing/2014/main" id="{00000000-0008-0000-0300-000018000000}"/>
            </a:ext>
          </a:extLst>
        </xdr:cNvPr>
        <xdr:cNvSpPr/>
      </xdr:nvSpPr>
      <xdr:spPr>
        <a:xfrm>
          <a:off x="200025" y="1371600"/>
          <a:ext cx="10401300" cy="559173"/>
        </a:xfrm>
        <a:prstGeom prst="roundRect">
          <a:avLst>
            <a:gd name="adj" fmla="val 4743"/>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130250</xdr:colOff>
      <xdr:row>9</xdr:row>
      <xdr:rowOff>97634</xdr:rowOff>
    </xdr:from>
    <xdr:to>
      <xdr:col>20</xdr:col>
      <xdr:colOff>102471</xdr:colOff>
      <xdr:row>11</xdr:row>
      <xdr:rowOff>153872</xdr:rowOff>
    </xdr:to>
    <xdr:sp macro="" textlink="">
      <xdr:nvSpPr>
        <xdr:cNvPr id="16" name="テキスト ボックス 19">
          <a:extLst>
            <a:ext uri="{FF2B5EF4-FFF2-40B4-BE49-F238E27FC236}">
              <a16:creationId xmlns:a16="http://schemas.microsoft.com/office/drawing/2014/main" id="{00000000-0008-0000-0300-000010000000}"/>
            </a:ext>
            <a:ext uri="{147F2762-F138-4A5C-976F-8EAC2B608ADB}">
              <a16:predDERef xmlns:a16="http://schemas.microsoft.com/office/drawing/2014/main" pred="{0514E06D-31DA-4E0C-9871-C38B5600A2FC}"/>
            </a:ext>
          </a:extLst>
        </xdr:cNvPr>
        <xdr:cNvSpPr txBox="1"/>
      </xdr:nvSpPr>
      <xdr:spPr>
        <a:xfrm>
          <a:off x="330275" y="1469234"/>
          <a:ext cx="3772696" cy="399138"/>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b="1">
              <a:solidFill>
                <a:schemeClr val="accent1">
                  <a:lumMod val="75000"/>
                </a:schemeClr>
              </a:solidFill>
            </a:rPr>
            <a:t>ヴァイスシュバルツ　</a:t>
          </a:r>
          <a:r>
            <a:rPr kumimoji="1" lang="en-US" altLang="ja-JP" b="1">
              <a:solidFill>
                <a:schemeClr val="accent1">
                  <a:lumMod val="75000"/>
                </a:schemeClr>
              </a:solidFill>
            </a:rPr>
            <a:t>BSP</a:t>
          </a:r>
          <a:endParaRPr kumimoji="1" lang="ja-JP" altLang="en-US" b="1">
            <a:solidFill>
              <a:schemeClr val="accent1">
                <a:lumMod val="75000"/>
              </a:schemeClr>
            </a:solidFill>
          </a:endParaRPr>
        </a:p>
      </xdr:txBody>
    </xdr:sp>
    <xdr:clientData/>
  </xdr:twoCellAnchor>
  <xdr:twoCellAnchor>
    <xdr:from>
      <xdr:col>2</xdr:col>
      <xdr:colOff>188819</xdr:colOff>
      <xdr:row>17</xdr:row>
      <xdr:rowOff>69663</xdr:rowOff>
    </xdr:from>
    <xdr:to>
      <xdr:col>7</xdr:col>
      <xdr:colOff>110217</xdr:colOff>
      <xdr:row>24</xdr:row>
      <xdr:rowOff>66878</xdr:rowOff>
    </xdr:to>
    <xdr:sp macro="" textlink="">
      <xdr:nvSpPr>
        <xdr:cNvPr id="17" name="テキスト ボックス 27">
          <a:extLst>
            <a:ext uri="{FF2B5EF4-FFF2-40B4-BE49-F238E27FC236}">
              <a16:creationId xmlns:a16="http://schemas.microsoft.com/office/drawing/2014/main" id="{00000000-0008-0000-0300-000011000000}"/>
            </a:ext>
          </a:extLst>
        </xdr:cNvPr>
        <xdr:cNvSpPr txBox="1"/>
      </xdr:nvSpPr>
      <xdr:spPr>
        <a:xfrm>
          <a:off x="588869" y="2831913"/>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デッキ①</a:t>
          </a:r>
          <a:endParaRPr kumimoji="1" lang="ja-JP" altLang="en-US" sz="800">
            <a:solidFill>
              <a:srgbClr val="0070C0"/>
            </a:solidFill>
          </a:endParaRPr>
        </a:p>
      </xdr:txBody>
    </xdr:sp>
    <xdr:clientData/>
  </xdr:twoCellAnchor>
  <xdr:twoCellAnchor>
    <xdr:from>
      <xdr:col>17</xdr:col>
      <xdr:colOff>19519</xdr:colOff>
      <xdr:row>17</xdr:row>
      <xdr:rowOff>78985</xdr:rowOff>
    </xdr:from>
    <xdr:to>
      <xdr:col>21</xdr:col>
      <xdr:colOff>142646</xdr:colOff>
      <xdr:row>24</xdr:row>
      <xdr:rowOff>76200</xdr:rowOff>
    </xdr:to>
    <xdr:sp macro="" textlink="">
      <xdr:nvSpPr>
        <xdr:cNvPr id="18" name="テキスト ボックス 27">
          <a:extLst>
            <a:ext uri="{FF2B5EF4-FFF2-40B4-BE49-F238E27FC236}">
              <a16:creationId xmlns:a16="http://schemas.microsoft.com/office/drawing/2014/main" id="{00000000-0008-0000-0300-000012000000}"/>
            </a:ext>
          </a:extLst>
        </xdr:cNvPr>
        <xdr:cNvSpPr txBox="1"/>
      </xdr:nvSpPr>
      <xdr:spPr>
        <a:xfrm>
          <a:off x="3419944" y="2841235"/>
          <a:ext cx="923227"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デッキ③</a:t>
          </a:r>
          <a:endParaRPr kumimoji="1" lang="ja-JP" altLang="en-US" sz="800">
            <a:solidFill>
              <a:srgbClr val="0070C0"/>
            </a:solidFill>
          </a:endParaRPr>
        </a:p>
      </xdr:txBody>
    </xdr:sp>
    <xdr:clientData/>
  </xdr:twoCellAnchor>
  <xdr:twoCellAnchor>
    <xdr:from>
      <xdr:col>9</xdr:col>
      <xdr:colOff>180975</xdr:colOff>
      <xdr:row>17</xdr:row>
      <xdr:rowOff>78985</xdr:rowOff>
    </xdr:from>
    <xdr:to>
      <xdr:col>14</xdr:col>
      <xdr:colOff>104079</xdr:colOff>
      <xdr:row>24</xdr:row>
      <xdr:rowOff>76200</xdr:rowOff>
    </xdr:to>
    <xdr:sp macro="" textlink="">
      <xdr:nvSpPr>
        <xdr:cNvPr id="19" name="テキスト ボックス 27">
          <a:extLst>
            <a:ext uri="{FF2B5EF4-FFF2-40B4-BE49-F238E27FC236}">
              <a16:creationId xmlns:a16="http://schemas.microsoft.com/office/drawing/2014/main" id="{00000000-0008-0000-0300-000013000000}"/>
            </a:ext>
          </a:extLst>
        </xdr:cNvPr>
        <xdr:cNvSpPr txBox="1"/>
      </xdr:nvSpPr>
      <xdr:spPr>
        <a:xfrm>
          <a:off x="1981200" y="2841235"/>
          <a:ext cx="923229"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デッキ②</a:t>
          </a:r>
          <a:endParaRPr kumimoji="1" lang="ja-JP" altLang="en-US" sz="800">
            <a:solidFill>
              <a:srgbClr val="0070C0"/>
            </a:solidFill>
          </a:endParaRPr>
        </a:p>
      </xdr:txBody>
    </xdr:sp>
    <xdr:clientData/>
  </xdr:twoCellAnchor>
  <xdr:twoCellAnchor>
    <xdr:from>
      <xdr:col>1</xdr:col>
      <xdr:colOff>147817</xdr:colOff>
      <xdr:row>35</xdr:row>
      <xdr:rowOff>46011</xdr:rowOff>
    </xdr:from>
    <xdr:to>
      <xdr:col>10</xdr:col>
      <xdr:colOff>106391</xdr:colOff>
      <xdr:row>39</xdr:row>
      <xdr:rowOff>100400</xdr:rowOff>
    </xdr:to>
    <xdr:grpSp>
      <xdr:nvGrpSpPr>
        <xdr:cNvPr id="25" name="グループ化 24">
          <a:extLst>
            <a:ext uri="{FF2B5EF4-FFF2-40B4-BE49-F238E27FC236}">
              <a16:creationId xmlns:a16="http://schemas.microsoft.com/office/drawing/2014/main" id="{00000000-0008-0000-0300-000019000000}"/>
            </a:ext>
          </a:extLst>
        </xdr:cNvPr>
        <xdr:cNvGrpSpPr/>
      </xdr:nvGrpSpPr>
      <xdr:grpSpPr>
        <a:xfrm>
          <a:off x="319267" y="5868961"/>
          <a:ext cx="1501624" cy="714789"/>
          <a:chOff x="811766" y="6041157"/>
          <a:chExt cx="1772246" cy="726742"/>
        </a:xfrm>
      </xdr:grpSpPr>
      <xdr:grpSp>
        <xdr:nvGrpSpPr>
          <xdr:cNvPr id="13" name="グループ化 12">
            <a:extLst>
              <a:ext uri="{FF2B5EF4-FFF2-40B4-BE49-F238E27FC236}">
                <a16:creationId xmlns:a16="http://schemas.microsoft.com/office/drawing/2014/main" id="{00000000-0008-0000-0300-00000D000000}"/>
              </a:ext>
            </a:extLst>
          </xdr:cNvPr>
          <xdr:cNvGrpSpPr/>
        </xdr:nvGrpSpPr>
        <xdr:grpSpPr>
          <a:xfrm>
            <a:off x="828493" y="6041157"/>
            <a:ext cx="1755519" cy="474285"/>
            <a:chOff x="2887683" y="2170921"/>
            <a:chExt cx="1779851" cy="435984"/>
          </a:xfrm>
        </xdr:grpSpPr>
        <xdr:sp macro="" textlink="">
          <xdr:nvSpPr>
            <xdr:cNvPr id="14" name="テキスト ボックス 26">
              <a:extLst>
                <a:ext uri="{FF2B5EF4-FFF2-40B4-BE49-F238E27FC236}">
                  <a16:creationId xmlns:a16="http://schemas.microsoft.com/office/drawing/2014/main" id="{00000000-0008-0000-0300-00000E000000}"/>
                </a:ext>
              </a:extLst>
            </xdr:cNvPr>
            <xdr:cNvSpPr txBox="1"/>
          </xdr:nvSpPr>
          <xdr:spPr>
            <a:xfrm>
              <a:off x="2887683" y="2170921"/>
              <a:ext cx="1779851" cy="203707"/>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コピーライトなど</a:t>
              </a:r>
            </a:p>
          </xdr:txBody>
        </xdr:sp>
        <xdr:sp macro="" textlink="">
          <xdr:nvSpPr>
            <xdr:cNvPr id="15" name="テキスト ボックス 27">
              <a:extLst>
                <a:ext uri="{FF2B5EF4-FFF2-40B4-BE49-F238E27FC236}">
                  <a16:creationId xmlns:a16="http://schemas.microsoft.com/office/drawing/2014/main" id="{00000000-0008-0000-0300-00000F000000}"/>
                </a:ext>
              </a:extLst>
            </xdr:cNvPr>
            <xdr:cNvSpPr txBox="1"/>
          </xdr:nvSpPr>
          <xdr:spPr>
            <a:xfrm>
              <a:off x="2887683" y="2391461"/>
              <a:ext cx="1709255"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b="1">
                  <a:solidFill>
                    <a:schemeClr val="bg1"/>
                  </a:solidFill>
                </a:rPr>
                <a:t>ログイン</a:t>
              </a:r>
              <a:r>
                <a:rPr kumimoji="1" lang="ja-JP" altLang="en-US" sz="800" b="1">
                  <a:solidFill>
                    <a:schemeClr val="bg1"/>
                  </a:solidFill>
                </a:rPr>
                <a:t>はこちら</a:t>
              </a:r>
            </a:p>
          </xdr:txBody>
        </xdr:sp>
      </xdr:grpSp>
      <xdr:sp macro="" textlink="">
        <xdr:nvSpPr>
          <xdr:cNvPr id="20" name="テキスト ボックス 27">
            <a:extLst>
              <a:ext uri="{FF2B5EF4-FFF2-40B4-BE49-F238E27FC236}">
                <a16:creationId xmlns:a16="http://schemas.microsoft.com/office/drawing/2014/main" id="{00000000-0008-0000-0300-000014000000}"/>
              </a:ext>
            </a:extLst>
          </xdr:cNvPr>
          <xdr:cNvSpPr txBox="1"/>
        </xdr:nvSpPr>
        <xdr:spPr>
          <a:xfrm>
            <a:off x="811766" y="6534705"/>
            <a:ext cx="1675212" cy="23319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すぐに対戦を始める</a:t>
            </a:r>
          </a:p>
        </xdr:txBody>
      </xdr:sp>
    </xdr:grpSp>
    <xdr:clientData/>
  </xdr:twoCellAnchor>
  <xdr:twoCellAnchor>
    <xdr:from>
      <xdr:col>24</xdr:col>
      <xdr:colOff>107177</xdr:colOff>
      <xdr:row>17</xdr:row>
      <xdr:rowOff>98035</xdr:rowOff>
    </xdr:from>
    <xdr:to>
      <xdr:col>29</xdr:col>
      <xdr:colOff>28575</xdr:colOff>
      <xdr:row>24</xdr:row>
      <xdr:rowOff>95250</xdr:rowOff>
    </xdr:to>
    <xdr:sp macro="" textlink="">
      <xdr:nvSpPr>
        <xdr:cNvPr id="21" name="テキスト ボックス 27">
          <a:extLst>
            <a:ext uri="{FF2B5EF4-FFF2-40B4-BE49-F238E27FC236}">
              <a16:creationId xmlns:a16="http://schemas.microsoft.com/office/drawing/2014/main" id="{00000000-0008-0000-0300-000015000000}"/>
            </a:ext>
          </a:extLst>
        </xdr:cNvPr>
        <xdr:cNvSpPr txBox="1"/>
      </xdr:nvSpPr>
      <xdr:spPr>
        <a:xfrm>
          <a:off x="4907777" y="2860285"/>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デッキ④</a:t>
          </a:r>
          <a:endParaRPr kumimoji="1" lang="ja-JP" altLang="en-US" sz="800">
            <a:solidFill>
              <a:srgbClr val="0070C0"/>
            </a:solidFill>
          </a:endParaRPr>
        </a:p>
      </xdr:txBody>
    </xdr:sp>
    <xdr:clientData/>
  </xdr:twoCellAnchor>
  <xdr:twoCellAnchor>
    <xdr:from>
      <xdr:col>31</xdr:col>
      <xdr:colOff>164325</xdr:colOff>
      <xdr:row>17</xdr:row>
      <xdr:rowOff>88510</xdr:rowOff>
    </xdr:from>
    <xdr:to>
      <xdr:col>36</xdr:col>
      <xdr:colOff>85726</xdr:colOff>
      <xdr:row>24</xdr:row>
      <xdr:rowOff>85725</xdr:rowOff>
    </xdr:to>
    <xdr:sp macro="" textlink="">
      <xdr:nvSpPr>
        <xdr:cNvPr id="22" name="テキスト ボックス 27">
          <a:extLst>
            <a:ext uri="{FF2B5EF4-FFF2-40B4-BE49-F238E27FC236}">
              <a16:creationId xmlns:a16="http://schemas.microsoft.com/office/drawing/2014/main" id="{00000000-0008-0000-0300-000016000000}"/>
            </a:ext>
          </a:extLst>
        </xdr:cNvPr>
        <xdr:cNvSpPr txBox="1"/>
      </xdr:nvSpPr>
      <xdr:spPr>
        <a:xfrm>
          <a:off x="6365100" y="2850760"/>
          <a:ext cx="921526"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デッキ⑤</a:t>
          </a:r>
          <a:endParaRPr lang="en-US" altLang="ja-JP" sz="800">
            <a:solidFill>
              <a:srgbClr val="0070C0"/>
            </a:solidFill>
          </a:endParaRPr>
        </a:p>
      </xdr:txBody>
    </xdr:sp>
    <xdr:clientData/>
  </xdr:twoCellAnchor>
  <xdr:twoCellAnchor>
    <xdr:from>
      <xdr:col>45</xdr:col>
      <xdr:colOff>114300</xdr:colOff>
      <xdr:row>9</xdr:row>
      <xdr:rowOff>91330</xdr:rowOff>
    </xdr:from>
    <xdr:to>
      <xdr:col>52</xdr:col>
      <xdr:colOff>47065</xdr:colOff>
      <xdr:row>11</xdr:row>
      <xdr:rowOff>136152</xdr:rowOff>
    </xdr:to>
    <xdr:sp macro="" textlink="">
      <xdr:nvSpPr>
        <xdr:cNvPr id="26" name="角丸四角形 25">
          <a:extLst>
            <a:ext uri="{FF2B5EF4-FFF2-40B4-BE49-F238E27FC236}">
              <a16:creationId xmlns:a16="http://schemas.microsoft.com/office/drawing/2014/main" id="{00000000-0008-0000-0300-00001A000000}"/>
            </a:ext>
          </a:extLst>
        </xdr:cNvPr>
        <xdr:cNvSpPr/>
      </xdr:nvSpPr>
      <xdr:spPr>
        <a:xfrm>
          <a:off x="9115425" y="1462930"/>
          <a:ext cx="1332940" cy="387722"/>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accent1">
                  <a:lumMod val="75000"/>
                </a:schemeClr>
              </a:solidFill>
            </a:rPr>
            <a:t>ログイン</a:t>
          </a:r>
        </a:p>
      </xdr:txBody>
    </xdr:sp>
    <xdr:clientData/>
  </xdr:twoCellAnchor>
  <xdr:twoCellAnchor>
    <xdr:from>
      <xdr:col>50</xdr:col>
      <xdr:colOff>33058</xdr:colOff>
      <xdr:row>10</xdr:row>
      <xdr:rowOff>25773</xdr:rowOff>
    </xdr:from>
    <xdr:to>
      <xdr:col>51</xdr:col>
      <xdr:colOff>48035</xdr:colOff>
      <xdr:row>11</xdr:row>
      <xdr:rowOff>12325</xdr:rowOff>
    </xdr:to>
    <xdr:sp macro="" textlink="">
      <xdr:nvSpPr>
        <xdr:cNvPr id="29" name="Menu Button" descr="&lt;Tags&gt;&lt;SMARTRESIZEANCHORS&gt;Absolute,None,None,Absolute&lt;/SMARTRESIZEANCHORS&gt;&lt;/Tags&gt;">
          <a:extLst>
            <a:ext uri="{FF2B5EF4-FFF2-40B4-BE49-F238E27FC236}">
              <a16:creationId xmlns:a16="http://schemas.microsoft.com/office/drawing/2014/main" id="{00000000-0008-0000-0300-00001D000000}"/>
            </a:ext>
          </a:extLst>
        </xdr:cNvPr>
        <xdr:cNvSpPr>
          <a:spLocks noChangeAspect="1" noEditPoints="1"/>
        </xdr:cNvSpPr>
      </xdr:nvSpPr>
      <xdr:spPr bwMode="auto">
        <a:xfrm>
          <a:off x="10034308" y="1568823"/>
          <a:ext cx="215002" cy="158002"/>
        </a:xfrm>
        <a:custGeom>
          <a:avLst/>
          <a:gdLst>
            <a:gd name="T0" fmla="*/ 0 w 415"/>
            <a:gd name="T1" fmla="*/ 309 h 309"/>
            <a:gd name="T2" fmla="*/ 415 w 415"/>
            <a:gd name="T3" fmla="*/ 309 h 309"/>
            <a:gd name="T4" fmla="*/ 0 w 415"/>
            <a:gd name="T5" fmla="*/ 155 h 309"/>
            <a:gd name="T6" fmla="*/ 415 w 415"/>
            <a:gd name="T7" fmla="*/ 155 h 309"/>
            <a:gd name="T8" fmla="*/ 0 w 415"/>
            <a:gd name="T9" fmla="*/ 0 h 309"/>
            <a:gd name="T10" fmla="*/ 415 w 415"/>
            <a:gd name="T11" fmla="*/ 0 h 309"/>
          </a:gdLst>
          <a:ahLst/>
          <a:cxnLst>
            <a:cxn ang="0">
              <a:pos x="T0" y="T1"/>
            </a:cxn>
            <a:cxn ang="0">
              <a:pos x="T2" y="T3"/>
            </a:cxn>
            <a:cxn ang="0">
              <a:pos x="T4" y="T5"/>
            </a:cxn>
            <a:cxn ang="0">
              <a:pos x="T6" y="T7"/>
            </a:cxn>
            <a:cxn ang="0">
              <a:pos x="T8" y="T9"/>
            </a:cxn>
            <a:cxn ang="0">
              <a:pos x="T10" y="T11"/>
            </a:cxn>
          </a:cxnLst>
          <a:rect l="0" t="0" r="r" b="b"/>
          <a:pathLst>
            <a:path w="415" h="309">
              <a:moveTo>
                <a:pt x="0" y="309"/>
              </a:moveTo>
              <a:lnTo>
                <a:pt x="415" y="309"/>
              </a:lnTo>
              <a:moveTo>
                <a:pt x="0" y="155"/>
              </a:moveTo>
              <a:lnTo>
                <a:pt x="415" y="155"/>
              </a:lnTo>
              <a:moveTo>
                <a:pt x="0" y="0"/>
              </a:moveTo>
              <a:lnTo>
                <a:pt x="415" y="0"/>
              </a:lnTo>
            </a:path>
          </a:pathLst>
        </a:custGeom>
        <a:noFill/>
        <a:ln w="6350" cap="flat">
          <a:solidFill>
            <a:srgbClr val="80808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solidFill>
              <a:srgbClr val="5F5F5F"/>
            </a:solidFill>
            <a:latin typeface="Segoe UI" panose="020B0502040204020203" pitchFamily="34" charset="0"/>
            <a:cs typeface="Segoe UI" panose="020B0502040204020203" pitchFamily="34" charset="0"/>
          </a:endParaRPr>
        </a:p>
      </xdr:txBody>
    </xdr:sp>
    <xdr:clientData/>
  </xdr:twoCellAnchor>
  <xdr:twoCellAnchor>
    <xdr:from>
      <xdr:col>45</xdr:col>
      <xdr:colOff>190501</xdr:colOff>
      <xdr:row>12</xdr:row>
      <xdr:rowOff>161926</xdr:rowOff>
    </xdr:from>
    <xdr:to>
      <xdr:col>50</xdr:col>
      <xdr:colOff>57150</xdr:colOff>
      <xdr:row>14</xdr:row>
      <xdr:rowOff>47626</xdr:rowOff>
    </xdr:to>
    <xdr:sp macro="" textlink="">
      <xdr:nvSpPr>
        <xdr:cNvPr id="34" name="テキスト ボックス 33">
          <a:extLst>
            <a:ext uri="{FF2B5EF4-FFF2-40B4-BE49-F238E27FC236}">
              <a16:creationId xmlns:a16="http://schemas.microsoft.com/office/drawing/2014/main" id="{00000000-0008-0000-0300-000022000000}"/>
            </a:ext>
          </a:extLst>
        </xdr:cNvPr>
        <xdr:cNvSpPr txBox="1"/>
      </xdr:nvSpPr>
      <xdr:spPr>
        <a:xfrm>
          <a:off x="9191626" y="2047876"/>
          <a:ext cx="866774" cy="24765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kumimoji="1" lang="ja-JP" altLang="en-US" sz="1100"/>
            <a:t>カード検索</a:t>
          </a:r>
        </a:p>
      </xdr:txBody>
    </xdr:sp>
    <xdr:clientData/>
  </xdr:twoCellAnchor>
  <xdr:twoCellAnchor>
    <xdr:from>
      <xdr:col>1</xdr:col>
      <xdr:colOff>123825</xdr:colOff>
      <xdr:row>12</xdr:row>
      <xdr:rowOff>171449</xdr:rowOff>
    </xdr:from>
    <xdr:to>
      <xdr:col>23</xdr:col>
      <xdr:colOff>104775</xdr:colOff>
      <xdr:row>14</xdr:row>
      <xdr:rowOff>47624</xdr:rowOff>
    </xdr:to>
    <xdr:sp macro="" textlink="">
      <xdr:nvSpPr>
        <xdr:cNvPr id="35" name="テキスト ボックス 34">
          <a:extLst>
            <a:ext uri="{FF2B5EF4-FFF2-40B4-BE49-F238E27FC236}">
              <a16:creationId xmlns:a16="http://schemas.microsoft.com/office/drawing/2014/main" id="{00000000-0008-0000-0300-000023000000}"/>
            </a:ext>
          </a:extLst>
        </xdr:cNvPr>
        <xdr:cNvSpPr txBox="1"/>
      </xdr:nvSpPr>
      <xdr:spPr>
        <a:xfrm>
          <a:off x="323850" y="2057399"/>
          <a:ext cx="4381500" cy="23812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bg1">
                  <a:lumMod val="65000"/>
                </a:schemeClr>
              </a:solidFill>
            </a:rPr>
            <a:t>キーワードを入力</a:t>
          </a:r>
        </a:p>
      </xdr:txBody>
    </xdr:sp>
    <xdr:clientData/>
  </xdr:twoCellAnchor>
  <xdr:twoCellAnchor>
    <xdr:from>
      <xdr:col>24</xdr:col>
      <xdr:colOff>85725</xdr:colOff>
      <xdr:row>12</xdr:row>
      <xdr:rowOff>171450</xdr:rowOff>
    </xdr:from>
    <xdr:to>
      <xdr:col>45</xdr:col>
      <xdr:colOff>76200</xdr:colOff>
      <xdr:row>14</xdr:row>
      <xdr:rowOff>47625</xdr:rowOff>
    </xdr:to>
    <xdr:sp macro="" textlink="">
      <xdr:nvSpPr>
        <xdr:cNvPr id="37" name="テキスト ボックス 36">
          <a:extLst>
            <a:ext uri="{FF2B5EF4-FFF2-40B4-BE49-F238E27FC236}">
              <a16:creationId xmlns:a16="http://schemas.microsoft.com/office/drawing/2014/main" id="{00000000-0008-0000-0300-000025000000}"/>
            </a:ext>
          </a:extLst>
        </xdr:cNvPr>
        <xdr:cNvSpPr txBox="1"/>
      </xdr:nvSpPr>
      <xdr:spPr>
        <a:xfrm>
          <a:off x="4886325" y="2057400"/>
          <a:ext cx="4191000" cy="23812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検索対象：☑名前　</a:t>
          </a:r>
          <a:r>
            <a:rPr kumimoji="1" lang="ja-JP" altLang="ja-JP" sz="1100">
              <a:solidFill>
                <a:schemeClr val="accent1">
                  <a:lumMod val="75000"/>
                </a:schemeClr>
              </a:solidFill>
              <a:effectLst/>
              <a:latin typeface="+mn-lt"/>
              <a:ea typeface="+mn-ea"/>
              <a:cs typeface="+mn-cs"/>
            </a:rPr>
            <a:t>☑</a:t>
          </a:r>
          <a:r>
            <a:rPr kumimoji="1" lang="ja-JP" altLang="en-US" sz="1100" u="none">
              <a:solidFill>
                <a:schemeClr val="accent1">
                  <a:lumMod val="75000"/>
                </a:schemeClr>
              </a:solidFill>
            </a:rPr>
            <a:t>特徴　</a:t>
          </a:r>
          <a:r>
            <a:rPr kumimoji="1" lang="ja-JP" altLang="ja-JP" sz="1100">
              <a:solidFill>
                <a:schemeClr val="accent1">
                  <a:lumMod val="75000"/>
                </a:schemeClr>
              </a:solidFill>
              <a:effectLst/>
              <a:latin typeface="+mn-lt"/>
              <a:ea typeface="+mn-ea"/>
              <a:cs typeface="+mn-cs"/>
            </a:rPr>
            <a:t>☑</a:t>
          </a:r>
          <a:r>
            <a:rPr kumimoji="1" lang="ja-JP" altLang="en-US" sz="1100" u="none">
              <a:solidFill>
                <a:schemeClr val="accent1">
                  <a:lumMod val="75000"/>
                </a:schemeClr>
              </a:solidFill>
            </a:rPr>
            <a:t>テキスト　☑カード番号</a:t>
          </a:r>
        </a:p>
      </xdr:txBody>
    </xdr:sp>
    <xdr:clientData/>
  </xdr:twoCellAnchor>
  <xdr:twoCellAnchor>
    <xdr:from>
      <xdr:col>1</xdr:col>
      <xdr:colOff>123825</xdr:colOff>
      <xdr:row>15</xdr:row>
      <xdr:rowOff>152400</xdr:rowOff>
    </xdr:from>
    <xdr:to>
      <xdr:col>9</xdr:col>
      <xdr:colOff>186126</xdr:colOff>
      <xdr:row>17</xdr:row>
      <xdr:rowOff>47009</xdr:rowOff>
    </xdr:to>
    <xdr:sp macro="" textlink="">
      <xdr:nvSpPr>
        <xdr:cNvPr id="42" name="テキスト ボックス 27">
          <a:extLst>
            <a:ext uri="{FF2B5EF4-FFF2-40B4-BE49-F238E27FC236}">
              <a16:creationId xmlns:a16="http://schemas.microsoft.com/office/drawing/2014/main" id="{00000000-0008-0000-0300-00002A000000}"/>
            </a:ext>
          </a:extLst>
        </xdr:cNvPr>
        <xdr:cNvSpPr txBox="1"/>
      </xdr:nvSpPr>
      <xdr:spPr>
        <a:xfrm>
          <a:off x="323850" y="257175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・新着デッキ</a:t>
          </a:r>
        </a:p>
      </xdr:txBody>
    </xdr:sp>
    <xdr:clientData/>
  </xdr:twoCellAnchor>
  <xdr:twoCellAnchor>
    <xdr:from>
      <xdr:col>1</xdr:col>
      <xdr:colOff>171450</xdr:colOff>
      <xdr:row>25</xdr:row>
      <xdr:rowOff>0</xdr:rowOff>
    </xdr:from>
    <xdr:to>
      <xdr:col>10</xdr:col>
      <xdr:colOff>33726</xdr:colOff>
      <xdr:row>26</xdr:row>
      <xdr:rowOff>66059</xdr:rowOff>
    </xdr:to>
    <xdr:sp macro="" textlink="">
      <xdr:nvSpPr>
        <xdr:cNvPr id="44" name="テキスト ボックス 27">
          <a:extLst>
            <a:ext uri="{FF2B5EF4-FFF2-40B4-BE49-F238E27FC236}">
              <a16:creationId xmlns:a16="http://schemas.microsoft.com/office/drawing/2014/main" id="{00000000-0008-0000-0300-00002C000000}"/>
            </a:ext>
          </a:extLst>
        </xdr:cNvPr>
        <xdr:cNvSpPr txBox="1"/>
      </xdr:nvSpPr>
      <xdr:spPr>
        <a:xfrm>
          <a:off x="371475" y="413385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・よく検索されるカード</a:t>
          </a:r>
          <a:endParaRPr kumimoji="1" lang="en-US" altLang="ja-JP" sz="800" b="1">
            <a:solidFill>
              <a:schemeClr val="tx1">
                <a:lumMod val="50000"/>
                <a:lumOff val="50000"/>
              </a:schemeClr>
            </a:solidFill>
          </a:endParaRPr>
        </a:p>
      </xdr:txBody>
    </xdr:sp>
    <xdr:clientData/>
  </xdr:twoCellAnchor>
  <xdr:twoCellAnchor>
    <xdr:from>
      <xdr:col>3</xdr:col>
      <xdr:colOff>66675</xdr:colOff>
      <xdr:row>26</xdr:row>
      <xdr:rowOff>114300</xdr:rowOff>
    </xdr:from>
    <xdr:to>
      <xdr:col>7</xdr:col>
      <xdr:colOff>188098</xdr:colOff>
      <xdr:row>33</xdr:row>
      <xdr:rowOff>111515</xdr:rowOff>
    </xdr:to>
    <xdr:sp macro="" textlink="">
      <xdr:nvSpPr>
        <xdr:cNvPr id="45" name="テキスト ボックス 27">
          <a:extLst>
            <a:ext uri="{FF2B5EF4-FFF2-40B4-BE49-F238E27FC236}">
              <a16:creationId xmlns:a16="http://schemas.microsoft.com/office/drawing/2014/main" id="{00000000-0008-0000-0300-00002D000000}"/>
            </a:ext>
          </a:extLst>
        </xdr:cNvPr>
        <xdr:cNvSpPr txBox="1"/>
      </xdr:nvSpPr>
      <xdr:spPr>
        <a:xfrm>
          <a:off x="666750" y="4419600"/>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カード①</a:t>
          </a:r>
          <a:endParaRPr kumimoji="1" lang="ja-JP" altLang="en-US" sz="800">
            <a:solidFill>
              <a:srgbClr val="0070C0"/>
            </a:solidFill>
          </a:endParaRPr>
        </a:p>
      </xdr:txBody>
    </xdr:sp>
    <xdr:clientData/>
  </xdr:twoCellAnchor>
  <xdr:twoCellAnchor>
    <xdr:from>
      <xdr:col>17</xdr:col>
      <xdr:colOff>97400</xdr:colOff>
      <xdr:row>26</xdr:row>
      <xdr:rowOff>123622</xdr:rowOff>
    </xdr:from>
    <xdr:to>
      <xdr:col>22</xdr:col>
      <xdr:colOff>20502</xdr:colOff>
      <xdr:row>33</xdr:row>
      <xdr:rowOff>120837</xdr:rowOff>
    </xdr:to>
    <xdr:sp macro="" textlink="">
      <xdr:nvSpPr>
        <xdr:cNvPr id="46" name="テキスト ボックス 27">
          <a:extLst>
            <a:ext uri="{FF2B5EF4-FFF2-40B4-BE49-F238E27FC236}">
              <a16:creationId xmlns:a16="http://schemas.microsoft.com/office/drawing/2014/main" id="{00000000-0008-0000-0300-00002E000000}"/>
            </a:ext>
          </a:extLst>
        </xdr:cNvPr>
        <xdr:cNvSpPr txBox="1"/>
      </xdr:nvSpPr>
      <xdr:spPr>
        <a:xfrm>
          <a:off x="3497825" y="4428922"/>
          <a:ext cx="923227"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カード③</a:t>
          </a:r>
          <a:endParaRPr kumimoji="1" lang="ja-JP" altLang="en-US" sz="800">
            <a:solidFill>
              <a:srgbClr val="0070C0"/>
            </a:solidFill>
          </a:endParaRPr>
        </a:p>
      </xdr:txBody>
    </xdr:sp>
    <xdr:clientData/>
  </xdr:twoCellAnchor>
  <xdr:twoCellAnchor>
    <xdr:from>
      <xdr:col>10</xdr:col>
      <xdr:colOff>58831</xdr:colOff>
      <xdr:row>26</xdr:row>
      <xdr:rowOff>123622</xdr:rowOff>
    </xdr:from>
    <xdr:to>
      <xdr:col>14</xdr:col>
      <xdr:colOff>181960</xdr:colOff>
      <xdr:row>33</xdr:row>
      <xdr:rowOff>120837</xdr:rowOff>
    </xdr:to>
    <xdr:sp macro="" textlink="">
      <xdr:nvSpPr>
        <xdr:cNvPr id="47" name="テキスト ボックス 27">
          <a:extLst>
            <a:ext uri="{FF2B5EF4-FFF2-40B4-BE49-F238E27FC236}">
              <a16:creationId xmlns:a16="http://schemas.microsoft.com/office/drawing/2014/main" id="{00000000-0008-0000-0300-00002F000000}"/>
            </a:ext>
          </a:extLst>
        </xdr:cNvPr>
        <xdr:cNvSpPr txBox="1"/>
      </xdr:nvSpPr>
      <xdr:spPr>
        <a:xfrm>
          <a:off x="2059081" y="4428922"/>
          <a:ext cx="923229"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カード②</a:t>
          </a:r>
          <a:endParaRPr kumimoji="1" lang="ja-JP" altLang="en-US" sz="800">
            <a:solidFill>
              <a:srgbClr val="0070C0"/>
            </a:solidFill>
          </a:endParaRPr>
        </a:p>
      </xdr:txBody>
    </xdr:sp>
    <xdr:clientData/>
  </xdr:twoCellAnchor>
  <xdr:twoCellAnchor>
    <xdr:from>
      <xdr:col>24</xdr:col>
      <xdr:colOff>185058</xdr:colOff>
      <xdr:row>26</xdr:row>
      <xdr:rowOff>142672</xdr:rowOff>
    </xdr:from>
    <xdr:to>
      <xdr:col>29</xdr:col>
      <xdr:colOff>106456</xdr:colOff>
      <xdr:row>33</xdr:row>
      <xdr:rowOff>139887</xdr:rowOff>
    </xdr:to>
    <xdr:sp macro="" textlink="">
      <xdr:nvSpPr>
        <xdr:cNvPr id="48" name="テキスト ボックス 27">
          <a:extLst>
            <a:ext uri="{FF2B5EF4-FFF2-40B4-BE49-F238E27FC236}">
              <a16:creationId xmlns:a16="http://schemas.microsoft.com/office/drawing/2014/main" id="{00000000-0008-0000-0300-000030000000}"/>
            </a:ext>
          </a:extLst>
        </xdr:cNvPr>
        <xdr:cNvSpPr txBox="1"/>
      </xdr:nvSpPr>
      <xdr:spPr>
        <a:xfrm>
          <a:off x="4985658" y="4447972"/>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カード④</a:t>
          </a:r>
          <a:endParaRPr kumimoji="1" lang="ja-JP" altLang="en-US" sz="800">
            <a:solidFill>
              <a:srgbClr val="0070C0"/>
            </a:solidFill>
          </a:endParaRPr>
        </a:p>
      </xdr:txBody>
    </xdr:sp>
    <xdr:clientData/>
  </xdr:twoCellAnchor>
  <xdr:twoCellAnchor>
    <xdr:from>
      <xdr:col>32</xdr:col>
      <xdr:colOff>42181</xdr:colOff>
      <xdr:row>26</xdr:row>
      <xdr:rowOff>133147</xdr:rowOff>
    </xdr:from>
    <xdr:to>
      <xdr:col>36</xdr:col>
      <xdr:colOff>163607</xdr:colOff>
      <xdr:row>33</xdr:row>
      <xdr:rowOff>130362</xdr:rowOff>
    </xdr:to>
    <xdr:sp macro="" textlink="">
      <xdr:nvSpPr>
        <xdr:cNvPr id="49" name="テキスト ボックス 27">
          <a:extLst>
            <a:ext uri="{FF2B5EF4-FFF2-40B4-BE49-F238E27FC236}">
              <a16:creationId xmlns:a16="http://schemas.microsoft.com/office/drawing/2014/main" id="{00000000-0008-0000-0300-000031000000}"/>
            </a:ext>
          </a:extLst>
        </xdr:cNvPr>
        <xdr:cNvSpPr txBox="1"/>
      </xdr:nvSpPr>
      <xdr:spPr>
        <a:xfrm>
          <a:off x="6442981" y="4438447"/>
          <a:ext cx="921526"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カード⑤</a:t>
          </a:r>
          <a:endParaRPr lang="en-US" altLang="ja-JP" sz="800">
            <a:solidFill>
              <a:srgbClr val="0070C0"/>
            </a:solidFill>
          </a:endParaRPr>
        </a:p>
      </xdr:txBody>
    </xdr:sp>
    <xdr:clientData/>
  </xdr:twoCellAnchor>
  <xdr:twoCellAnchor>
    <xdr:from>
      <xdr:col>1</xdr:col>
      <xdr:colOff>0</xdr:colOff>
      <xdr:row>15</xdr:row>
      <xdr:rowOff>0</xdr:rowOff>
    </xdr:from>
    <xdr:to>
      <xdr:col>52</xdr:col>
      <xdr:colOff>171450</xdr:colOff>
      <xdr:row>33</xdr:row>
      <xdr:rowOff>133350</xdr:rowOff>
    </xdr:to>
    <xdr:sp macro="" textlink="">
      <xdr:nvSpPr>
        <xdr:cNvPr id="30" name="正方形/長方形 29">
          <a:extLst>
            <a:ext uri="{FF2B5EF4-FFF2-40B4-BE49-F238E27FC236}">
              <a16:creationId xmlns:a16="http://schemas.microsoft.com/office/drawing/2014/main" id="{00000000-0008-0000-0300-00001E000000}"/>
            </a:ext>
          </a:extLst>
        </xdr:cNvPr>
        <xdr:cNvSpPr/>
      </xdr:nvSpPr>
      <xdr:spPr>
        <a:xfrm>
          <a:off x="190500" y="2590800"/>
          <a:ext cx="9886950" cy="3219450"/>
        </a:xfrm>
        <a:prstGeom prst="rect">
          <a:avLst/>
        </a:prstGeom>
        <a:ln/>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9525</xdr:colOff>
      <xdr:row>12</xdr:row>
      <xdr:rowOff>76201</xdr:rowOff>
    </xdr:from>
    <xdr:to>
      <xdr:col>52</xdr:col>
      <xdr:colOff>180975</xdr:colOff>
      <xdr:row>14</xdr:row>
      <xdr:rowOff>133351</xdr:rowOff>
    </xdr:to>
    <xdr:sp macro="" textlink="">
      <xdr:nvSpPr>
        <xdr:cNvPr id="2" name="角丸四角形 35">
          <a:extLst>
            <a:ext uri="{FF2B5EF4-FFF2-40B4-BE49-F238E27FC236}">
              <a16:creationId xmlns:a16="http://schemas.microsoft.com/office/drawing/2014/main" id="{00000000-0008-0000-0400-000002000000}"/>
            </a:ext>
          </a:extLst>
        </xdr:cNvPr>
        <xdr:cNvSpPr/>
      </xdr:nvSpPr>
      <xdr:spPr>
        <a:xfrm>
          <a:off x="193675" y="1911351"/>
          <a:ext cx="9563100" cy="412750"/>
        </a:xfrm>
        <a:prstGeom prst="roundRect">
          <a:avLst>
            <a:gd name="adj" fmla="val 4743"/>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190500</xdr:colOff>
      <xdr:row>12</xdr:row>
      <xdr:rowOff>171450</xdr:rowOff>
    </xdr:from>
    <xdr:to>
      <xdr:col>51</xdr:col>
      <xdr:colOff>190500</xdr:colOff>
      <xdr:row>14</xdr:row>
      <xdr:rowOff>47625</xdr:rowOff>
    </xdr:to>
    <xdr:sp macro="" textlink="">
      <xdr:nvSpPr>
        <xdr:cNvPr id="3" name="二等辺三角形 2">
          <a:extLst>
            <a:ext uri="{FF2B5EF4-FFF2-40B4-BE49-F238E27FC236}">
              <a16:creationId xmlns:a16="http://schemas.microsoft.com/office/drawing/2014/main" id="{00000000-0008-0000-0400-000003000000}"/>
            </a:ext>
          </a:extLst>
        </xdr:cNvPr>
        <xdr:cNvSpPr/>
      </xdr:nvSpPr>
      <xdr:spPr>
        <a:xfrm rot="16200000">
          <a:off x="9367837" y="2030413"/>
          <a:ext cx="231775" cy="184150"/>
        </a:xfrm>
        <a:prstGeom prst="triangle">
          <a:avLst>
            <a:gd name="adj" fmla="val 46875"/>
          </a:avLst>
        </a:prstGeom>
        <a:solidFill>
          <a:schemeClr val="tx2">
            <a:lumMod val="5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0</xdr:col>
      <xdr:colOff>200024</xdr:colOff>
      <xdr:row>44</xdr:row>
      <xdr:rowOff>0</xdr:rowOff>
    </xdr:from>
    <xdr:to>
      <xdr:col>52</xdr:col>
      <xdr:colOff>190499</xdr:colOff>
      <xdr:row>51</xdr:row>
      <xdr:rowOff>0</xdr:rowOff>
    </xdr:to>
    <xdr:sp macro="" textlink="">
      <xdr:nvSpPr>
        <xdr:cNvPr id="4" name="テキスト ボックス 27">
          <a:extLst>
            <a:ext uri="{FF2B5EF4-FFF2-40B4-BE49-F238E27FC236}">
              <a16:creationId xmlns:a16="http://schemas.microsoft.com/office/drawing/2014/main" id="{00000000-0008-0000-0400-000004000000}"/>
            </a:ext>
          </a:extLst>
        </xdr:cNvPr>
        <xdr:cNvSpPr txBox="1"/>
      </xdr:nvSpPr>
      <xdr:spPr>
        <a:xfrm>
          <a:off x="187324" y="5492750"/>
          <a:ext cx="9572625" cy="1155700"/>
        </a:xfrm>
        <a:prstGeom prst="rect">
          <a:avLst/>
        </a:prstGeom>
        <a:solidFill>
          <a:schemeClr val="accent1">
            <a:lumMod val="75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ltLang="ja-JP" sz="800">
            <a:solidFill>
              <a:srgbClr val="0070C0"/>
            </a:solidFill>
          </a:endParaRPr>
        </a:p>
      </xdr:txBody>
    </xdr:sp>
    <xdr:clientData/>
  </xdr:twoCellAnchor>
  <xdr:twoCellAnchor>
    <xdr:from>
      <xdr:col>1</xdr:col>
      <xdr:colOff>0</xdr:colOff>
      <xdr:row>9</xdr:row>
      <xdr:rowOff>0</xdr:rowOff>
    </xdr:from>
    <xdr:to>
      <xdr:col>53</xdr:col>
      <xdr:colOff>0</xdr:colOff>
      <xdr:row>12</xdr:row>
      <xdr:rowOff>44823</xdr:rowOff>
    </xdr:to>
    <xdr:sp macro="" textlink="">
      <xdr:nvSpPr>
        <xdr:cNvPr id="5" name="角丸四角形 23">
          <a:extLst>
            <a:ext uri="{FF2B5EF4-FFF2-40B4-BE49-F238E27FC236}">
              <a16:creationId xmlns:a16="http://schemas.microsoft.com/office/drawing/2014/main" id="{00000000-0008-0000-0400-000005000000}"/>
            </a:ext>
          </a:extLst>
        </xdr:cNvPr>
        <xdr:cNvSpPr/>
      </xdr:nvSpPr>
      <xdr:spPr>
        <a:xfrm>
          <a:off x="184150" y="1339850"/>
          <a:ext cx="9575800" cy="540123"/>
        </a:xfrm>
        <a:prstGeom prst="roundRect">
          <a:avLst>
            <a:gd name="adj" fmla="val 4743"/>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130250</xdr:colOff>
      <xdr:row>9</xdr:row>
      <xdr:rowOff>97634</xdr:rowOff>
    </xdr:from>
    <xdr:to>
      <xdr:col>20</xdr:col>
      <xdr:colOff>102471</xdr:colOff>
      <xdr:row>11</xdr:row>
      <xdr:rowOff>153872</xdr:rowOff>
    </xdr:to>
    <xdr:sp macro="" textlink="">
      <xdr:nvSpPr>
        <xdr:cNvPr id="6" name="テキスト ボックス 19">
          <a:extLst>
            <a:ext uri="{FF2B5EF4-FFF2-40B4-BE49-F238E27FC236}">
              <a16:creationId xmlns:a16="http://schemas.microsoft.com/office/drawing/2014/main" id="{00000000-0008-0000-0400-000006000000}"/>
            </a:ext>
            <a:ext uri="{147F2762-F138-4A5C-976F-8EAC2B608ADB}">
              <a16:predDERef xmlns:a16="http://schemas.microsoft.com/office/drawing/2014/main" pred="{0514E06D-31DA-4E0C-9871-C38B5600A2FC}"/>
            </a:ext>
          </a:extLst>
        </xdr:cNvPr>
        <xdr:cNvSpPr txBox="1"/>
      </xdr:nvSpPr>
      <xdr:spPr>
        <a:xfrm>
          <a:off x="314400" y="1437484"/>
          <a:ext cx="3471071" cy="386438"/>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b="1">
              <a:solidFill>
                <a:schemeClr val="accent1">
                  <a:lumMod val="75000"/>
                </a:schemeClr>
              </a:solidFill>
            </a:rPr>
            <a:t>ヴァイスシュバルツ　</a:t>
          </a:r>
          <a:r>
            <a:rPr kumimoji="1" lang="en-US" altLang="ja-JP" b="1">
              <a:solidFill>
                <a:schemeClr val="accent1">
                  <a:lumMod val="75000"/>
                </a:schemeClr>
              </a:solidFill>
            </a:rPr>
            <a:t>BSP</a:t>
          </a:r>
          <a:endParaRPr kumimoji="1" lang="ja-JP" altLang="en-US" b="1">
            <a:solidFill>
              <a:schemeClr val="accent1">
                <a:lumMod val="75000"/>
              </a:schemeClr>
            </a:solidFill>
          </a:endParaRPr>
        </a:p>
      </xdr:txBody>
    </xdr:sp>
    <xdr:clientData/>
  </xdr:twoCellAnchor>
  <xdr:twoCellAnchor>
    <xdr:from>
      <xdr:col>2</xdr:col>
      <xdr:colOff>188819</xdr:colOff>
      <xdr:row>27</xdr:row>
      <xdr:rowOff>69663</xdr:rowOff>
    </xdr:from>
    <xdr:to>
      <xdr:col>7</xdr:col>
      <xdr:colOff>110217</xdr:colOff>
      <xdr:row>34</xdr:row>
      <xdr:rowOff>66878</xdr:rowOff>
    </xdr:to>
    <xdr:sp macro="" textlink="">
      <xdr:nvSpPr>
        <xdr:cNvPr id="7" name="テキスト ボックス 27">
          <a:extLst>
            <a:ext uri="{FF2B5EF4-FFF2-40B4-BE49-F238E27FC236}">
              <a16:creationId xmlns:a16="http://schemas.microsoft.com/office/drawing/2014/main" id="{00000000-0008-0000-0400-000007000000}"/>
            </a:ext>
          </a:extLst>
        </xdr:cNvPr>
        <xdr:cNvSpPr txBox="1"/>
      </xdr:nvSpPr>
      <xdr:spPr>
        <a:xfrm>
          <a:off x="550769" y="2755713"/>
          <a:ext cx="848498"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デッキ①</a:t>
          </a:r>
          <a:endParaRPr kumimoji="1" lang="ja-JP" altLang="en-US" sz="800">
            <a:solidFill>
              <a:srgbClr val="0070C0"/>
            </a:solidFill>
          </a:endParaRPr>
        </a:p>
      </xdr:txBody>
    </xdr:sp>
    <xdr:clientData/>
  </xdr:twoCellAnchor>
  <xdr:twoCellAnchor>
    <xdr:from>
      <xdr:col>17</xdr:col>
      <xdr:colOff>19519</xdr:colOff>
      <xdr:row>27</xdr:row>
      <xdr:rowOff>78985</xdr:rowOff>
    </xdr:from>
    <xdr:to>
      <xdr:col>21</xdr:col>
      <xdr:colOff>142646</xdr:colOff>
      <xdr:row>34</xdr:row>
      <xdr:rowOff>76200</xdr:rowOff>
    </xdr:to>
    <xdr:sp macro="" textlink="">
      <xdr:nvSpPr>
        <xdr:cNvPr id="8" name="テキスト ボックス 27">
          <a:extLst>
            <a:ext uri="{FF2B5EF4-FFF2-40B4-BE49-F238E27FC236}">
              <a16:creationId xmlns:a16="http://schemas.microsoft.com/office/drawing/2014/main" id="{00000000-0008-0000-0400-000008000000}"/>
            </a:ext>
          </a:extLst>
        </xdr:cNvPr>
        <xdr:cNvSpPr txBox="1"/>
      </xdr:nvSpPr>
      <xdr:spPr>
        <a:xfrm>
          <a:off x="3150069" y="2765035"/>
          <a:ext cx="859727"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デッキ③</a:t>
          </a:r>
          <a:endParaRPr kumimoji="1" lang="ja-JP" altLang="en-US" sz="800">
            <a:solidFill>
              <a:srgbClr val="0070C0"/>
            </a:solidFill>
          </a:endParaRPr>
        </a:p>
      </xdr:txBody>
    </xdr:sp>
    <xdr:clientData/>
  </xdr:twoCellAnchor>
  <xdr:twoCellAnchor>
    <xdr:from>
      <xdr:col>9</xdr:col>
      <xdr:colOff>180975</xdr:colOff>
      <xdr:row>27</xdr:row>
      <xdr:rowOff>78985</xdr:rowOff>
    </xdr:from>
    <xdr:to>
      <xdr:col>14</xdr:col>
      <xdr:colOff>104079</xdr:colOff>
      <xdr:row>34</xdr:row>
      <xdr:rowOff>76200</xdr:rowOff>
    </xdr:to>
    <xdr:sp macro="" textlink="">
      <xdr:nvSpPr>
        <xdr:cNvPr id="9" name="テキスト ボックス 27">
          <a:extLst>
            <a:ext uri="{FF2B5EF4-FFF2-40B4-BE49-F238E27FC236}">
              <a16:creationId xmlns:a16="http://schemas.microsoft.com/office/drawing/2014/main" id="{00000000-0008-0000-0400-000009000000}"/>
            </a:ext>
          </a:extLst>
        </xdr:cNvPr>
        <xdr:cNvSpPr txBox="1"/>
      </xdr:nvSpPr>
      <xdr:spPr>
        <a:xfrm>
          <a:off x="1838325" y="2765035"/>
          <a:ext cx="843854"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デッキ②</a:t>
          </a:r>
          <a:endParaRPr kumimoji="1" lang="ja-JP" altLang="en-US" sz="800">
            <a:solidFill>
              <a:srgbClr val="0070C0"/>
            </a:solidFill>
          </a:endParaRPr>
        </a:p>
      </xdr:txBody>
    </xdr:sp>
    <xdr:clientData/>
  </xdr:twoCellAnchor>
  <xdr:twoCellAnchor>
    <xdr:from>
      <xdr:col>1</xdr:col>
      <xdr:colOff>147817</xdr:colOff>
      <xdr:row>45</xdr:row>
      <xdr:rowOff>46011</xdr:rowOff>
    </xdr:from>
    <xdr:to>
      <xdr:col>10</xdr:col>
      <xdr:colOff>106391</xdr:colOff>
      <xdr:row>49</xdr:row>
      <xdr:rowOff>100400</xdr:rowOff>
    </xdr:to>
    <xdr:grpSp>
      <xdr:nvGrpSpPr>
        <xdr:cNvPr id="10" name="グループ化 9">
          <a:extLst>
            <a:ext uri="{FF2B5EF4-FFF2-40B4-BE49-F238E27FC236}">
              <a16:creationId xmlns:a16="http://schemas.microsoft.com/office/drawing/2014/main" id="{00000000-0008-0000-0400-00000A000000}"/>
            </a:ext>
          </a:extLst>
        </xdr:cNvPr>
        <xdr:cNvGrpSpPr/>
      </xdr:nvGrpSpPr>
      <xdr:grpSpPr>
        <a:xfrm>
          <a:off x="319267" y="7519961"/>
          <a:ext cx="1501624" cy="714789"/>
          <a:chOff x="811766" y="6041157"/>
          <a:chExt cx="1772246" cy="726742"/>
        </a:xfrm>
      </xdr:grpSpPr>
      <xdr:grpSp>
        <xdr:nvGrpSpPr>
          <xdr:cNvPr id="11" name="グループ化 10">
            <a:extLst>
              <a:ext uri="{FF2B5EF4-FFF2-40B4-BE49-F238E27FC236}">
                <a16:creationId xmlns:a16="http://schemas.microsoft.com/office/drawing/2014/main" id="{00000000-0008-0000-0400-00000B000000}"/>
              </a:ext>
            </a:extLst>
          </xdr:cNvPr>
          <xdr:cNvGrpSpPr/>
        </xdr:nvGrpSpPr>
        <xdr:grpSpPr>
          <a:xfrm>
            <a:off x="828493" y="6041157"/>
            <a:ext cx="1755519" cy="474285"/>
            <a:chOff x="2887683" y="2170921"/>
            <a:chExt cx="1779851" cy="435984"/>
          </a:xfrm>
        </xdr:grpSpPr>
        <xdr:sp macro="" textlink="">
          <xdr:nvSpPr>
            <xdr:cNvPr id="13" name="テキスト ボックス 26">
              <a:extLst>
                <a:ext uri="{FF2B5EF4-FFF2-40B4-BE49-F238E27FC236}">
                  <a16:creationId xmlns:a16="http://schemas.microsoft.com/office/drawing/2014/main" id="{00000000-0008-0000-0400-00000D000000}"/>
                </a:ext>
              </a:extLst>
            </xdr:cNvPr>
            <xdr:cNvSpPr txBox="1"/>
          </xdr:nvSpPr>
          <xdr:spPr>
            <a:xfrm>
              <a:off x="2887683" y="2170921"/>
              <a:ext cx="1779851"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会員登録はこちら</a:t>
              </a:r>
            </a:p>
          </xdr:txBody>
        </xdr:sp>
        <xdr:sp macro="" textlink="">
          <xdr:nvSpPr>
            <xdr:cNvPr id="14" name="テキスト ボックス 27">
              <a:extLst>
                <a:ext uri="{FF2B5EF4-FFF2-40B4-BE49-F238E27FC236}">
                  <a16:creationId xmlns:a16="http://schemas.microsoft.com/office/drawing/2014/main" id="{00000000-0008-0000-0400-00000E000000}"/>
                </a:ext>
              </a:extLst>
            </xdr:cNvPr>
            <xdr:cNvSpPr txBox="1"/>
          </xdr:nvSpPr>
          <xdr:spPr>
            <a:xfrm>
              <a:off x="2887683" y="2391461"/>
              <a:ext cx="1709255"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b="1">
                  <a:solidFill>
                    <a:schemeClr val="bg1"/>
                  </a:solidFill>
                </a:rPr>
                <a:t>ログイン</a:t>
              </a:r>
              <a:r>
                <a:rPr kumimoji="1" lang="ja-JP" altLang="en-US" sz="800" b="1">
                  <a:solidFill>
                    <a:schemeClr val="bg1"/>
                  </a:solidFill>
                </a:rPr>
                <a:t>はこちら</a:t>
              </a:r>
            </a:p>
          </xdr:txBody>
        </xdr:sp>
      </xdr:grpSp>
      <xdr:sp macro="" textlink="">
        <xdr:nvSpPr>
          <xdr:cNvPr id="12" name="テキスト ボックス 27">
            <a:extLst>
              <a:ext uri="{FF2B5EF4-FFF2-40B4-BE49-F238E27FC236}">
                <a16:creationId xmlns:a16="http://schemas.microsoft.com/office/drawing/2014/main" id="{00000000-0008-0000-0400-00000C000000}"/>
              </a:ext>
            </a:extLst>
          </xdr:cNvPr>
          <xdr:cNvSpPr txBox="1"/>
        </xdr:nvSpPr>
        <xdr:spPr>
          <a:xfrm>
            <a:off x="811766" y="6534705"/>
            <a:ext cx="1675212" cy="23319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すぐに対戦を始める</a:t>
            </a:r>
          </a:p>
        </xdr:txBody>
      </xdr:sp>
    </xdr:grpSp>
    <xdr:clientData/>
  </xdr:twoCellAnchor>
  <xdr:twoCellAnchor>
    <xdr:from>
      <xdr:col>24</xdr:col>
      <xdr:colOff>107177</xdr:colOff>
      <xdr:row>27</xdr:row>
      <xdr:rowOff>98035</xdr:rowOff>
    </xdr:from>
    <xdr:to>
      <xdr:col>29</xdr:col>
      <xdr:colOff>28575</xdr:colOff>
      <xdr:row>34</xdr:row>
      <xdr:rowOff>95250</xdr:rowOff>
    </xdr:to>
    <xdr:sp macro="" textlink="">
      <xdr:nvSpPr>
        <xdr:cNvPr id="15" name="テキスト ボックス 27">
          <a:extLst>
            <a:ext uri="{FF2B5EF4-FFF2-40B4-BE49-F238E27FC236}">
              <a16:creationId xmlns:a16="http://schemas.microsoft.com/office/drawing/2014/main" id="{00000000-0008-0000-0400-00000F000000}"/>
            </a:ext>
          </a:extLst>
        </xdr:cNvPr>
        <xdr:cNvSpPr txBox="1"/>
      </xdr:nvSpPr>
      <xdr:spPr>
        <a:xfrm>
          <a:off x="4526777" y="2784085"/>
          <a:ext cx="842148"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デッキ④</a:t>
          </a:r>
          <a:endParaRPr kumimoji="1" lang="ja-JP" altLang="en-US" sz="800">
            <a:solidFill>
              <a:srgbClr val="0070C0"/>
            </a:solidFill>
          </a:endParaRPr>
        </a:p>
      </xdr:txBody>
    </xdr:sp>
    <xdr:clientData/>
  </xdr:twoCellAnchor>
  <xdr:twoCellAnchor>
    <xdr:from>
      <xdr:col>31</xdr:col>
      <xdr:colOff>164325</xdr:colOff>
      <xdr:row>27</xdr:row>
      <xdr:rowOff>88510</xdr:rowOff>
    </xdr:from>
    <xdr:to>
      <xdr:col>36</xdr:col>
      <xdr:colOff>85726</xdr:colOff>
      <xdr:row>34</xdr:row>
      <xdr:rowOff>85725</xdr:rowOff>
    </xdr:to>
    <xdr:sp macro="" textlink="">
      <xdr:nvSpPr>
        <xdr:cNvPr id="16" name="テキスト ボックス 27">
          <a:extLst>
            <a:ext uri="{FF2B5EF4-FFF2-40B4-BE49-F238E27FC236}">
              <a16:creationId xmlns:a16="http://schemas.microsoft.com/office/drawing/2014/main" id="{00000000-0008-0000-0400-000010000000}"/>
            </a:ext>
          </a:extLst>
        </xdr:cNvPr>
        <xdr:cNvSpPr txBox="1"/>
      </xdr:nvSpPr>
      <xdr:spPr>
        <a:xfrm>
          <a:off x="5872975" y="2774560"/>
          <a:ext cx="842151"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デッキ⑤</a:t>
          </a:r>
          <a:endParaRPr lang="en-US" altLang="ja-JP" sz="800">
            <a:solidFill>
              <a:srgbClr val="0070C0"/>
            </a:solidFill>
          </a:endParaRPr>
        </a:p>
      </xdr:txBody>
    </xdr:sp>
    <xdr:clientData/>
  </xdr:twoCellAnchor>
  <xdr:twoCellAnchor>
    <xdr:from>
      <xdr:col>43</xdr:col>
      <xdr:colOff>104775</xdr:colOff>
      <xdr:row>9</xdr:row>
      <xdr:rowOff>91330</xdr:rowOff>
    </xdr:from>
    <xdr:to>
      <xdr:col>52</xdr:col>
      <xdr:colOff>47065</xdr:colOff>
      <xdr:row>11</xdr:row>
      <xdr:rowOff>136152</xdr:rowOff>
    </xdr:to>
    <xdr:sp macro="" textlink="">
      <xdr:nvSpPr>
        <xdr:cNvPr id="17" name="角丸四角形 25">
          <a:extLst>
            <a:ext uri="{FF2B5EF4-FFF2-40B4-BE49-F238E27FC236}">
              <a16:creationId xmlns:a16="http://schemas.microsoft.com/office/drawing/2014/main" id="{00000000-0008-0000-0400-000011000000}"/>
            </a:ext>
          </a:extLst>
        </xdr:cNvPr>
        <xdr:cNvSpPr/>
      </xdr:nvSpPr>
      <xdr:spPr>
        <a:xfrm>
          <a:off x="8705850" y="1462930"/>
          <a:ext cx="1742515" cy="387722"/>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accent1">
                  <a:lumMod val="75000"/>
                </a:schemeClr>
              </a:solidFill>
            </a:rPr>
            <a:t>カードゲームしよ子</a:t>
          </a:r>
        </a:p>
      </xdr:txBody>
    </xdr:sp>
    <xdr:clientData/>
  </xdr:twoCellAnchor>
  <xdr:twoCellAnchor>
    <xdr:from>
      <xdr:col>50</xdr:col>
      <xdr:colOff>33058</xdr:colOff>
      <xdr:row>10</xdr:row>
      <xdr:rowOff>25773</xdr:rowOff>
    </xdr:from>
    <xdr:to>
      <xdr:col>51</xdr:col>
      <xdr:colOff>48035</xdr:colOff>
      <xdr:row>11</xdr:row>
      <xdr:rowOff>12325</xdr:rowOff>
    </xdr:to>
    <xdr:sp macro="" textlink="">
      <xdr:nvSpPr>
        <xdr:cNvPr id="18" name="Menu Button" descr="&lt;Tags&gt;&lt;SMARTRESIZEANCHORS&gt;Absolute,None,None,Absolute&lt;/SMARTRESIZEANCHORS&gt;&lt;/Tags&gt;">
          <a:extLst>
            <a:ext uri="{FF2B5EF4-FFF2-40B4-BE49-F238E27FC236}">
              <a16:creationId xmlns:a16="http://schemas.microsoft.com/office/drawing/2014/main" id="{00000000-0008-0000-0400-000012000000}"/>
            </a:ext>
          </a:extLst>
        </xdr:cNvPr>
        <xdr:cNvSpPr>
          <a:spLocks noChangeAspect="1" noEditPoints="1"/>
        </xdr:cNvSpPr>
      </xdr:nvSpPr>
      <xdr:spPr bwMode="auto">
        <a:xfrm>
          <a:off x="9240558" y="1530723"/>
          <a:ext cx="199127" cy="151652"/>
        </a:xfrm>
        <a:custGeom>
          <a:avLst/>
          <a:gdLst>
            <a:gd name="T0" fmla="*/ 0 w 415"/>
            <a:gd name="T1" fmla="*/ 309 h 309"/>
            <a:gd name="T2" fmla="*/ 415 w 415"/>
            <a:gd name="T3" fmla="*/ 309 h 309"/>
            <a:gd name="T4" fmla="*/ 0 w 415"/>
            <a:gd name="T5" fmla="*/ 155 h 309"/>
            <a:gd name="T6" fmla="*/ 415 w 415"/>
            <a:gd name="T7" fmla="*/ 155 h 309"/>
            <a:gd name="T8" fmla="*/ 0 w 415"/>
            <a:gd name="T9" fmla="*/ 0 h 309"/>
            <a:gd name="T10" fmla="*/ 415 w 415"/>
            <a:gd name="T11" fmla="*/ 0 h 309"/>
          </a:gdLst>
          <a:ahLst/>
          <a:cxnLst>
            <a:cxn ang="0">
              <a:pos x="T0" y="T1"/>
            </a:cxn>
            <a:cxn ang="0">
              <a:pos x="T2" y="T3"/>
            </a:cxn>
            <a:cxn ang="0">
              <a:pos x="T4" y="T5"/>
            </a:cxn>
            <a:cxn ang="0">
              <a:pos x="T6" y="T7"/>
            </a:cxn>
            <a:cxn ang="0">
              <a:pos x="T8" y="T9"/>
            </a:cxn>
            <a:cxn ang="0">
              <a:pos x="T10" y="T11"/>
            </a:cxn>
          </a:cxnLst>
          <a:rect l="0" t="0" r="r" b="b"/>
          <a:pathLst>
            <a:path w="415" h="309">
              <a:moveTo>
                <a:pt x="0" y="309"/>
              </a:moveTo>
              <a:lnTo>
                <a:pt x="415" y="309"/>
              </a:lnTo>
              <a:moveTo>
                <a:pt x="0" y="155"/>
              </a:moveTo>
              <a:lnTo>
                <a:pt x="415" y="155"/>
              </a:lnTo>
              <a:moveTo>
                <a:pt x="0" y="0"/>
              </a:moveTo>
              <a:lnTo>
                <a:pt x="415" y="0"/>
              </a:lnTo>
            </a:path>
          </a:pathLst>
        </a:custGeom>
        <a:noFill/>
        <a:ln w="6350" cap="flat">
          <a:solidFill>
            <a:srgbClr val="80808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solidFill>
              <a:srgbClr val="5F5F5F"/>
            </a:solidFill>
            <a:latin typeface="Segoe UI" panose="020B0502040204020203" pitchFamily="34" charset="0"/>
            <a:cs typeface="Segoe UI" panose="020B0502040204020203" pitchFamily="34" charset="0"/>
          </a:endParaRPr>
        </a:p>
      </xdr:txBody>
    </xdr:sp>
    <xdr:clientData/>
  </xdr:twoCellAnchor>
  <xdr:twoCellAnchor>
    <xdr:from>
      <xdr:col>45</xdr:col>
      <xdr:colOff>190501</xdr:colOff>
      <xdr:row>12</xdr:row>
      <xdr:rowOff>161926</xdr:rowOff>
    </xdr:from>
    <xdr:to>
      <xdr:col>50</xdr:col>
      <xdr:colOff>57150</xdr:colOff>
      <xdr:row>14</xdr:row>
      <xdr:rowOff>47626</xdr:rowOff>
    </xdr:to>
    <xdr:sp macro="" textlink="">
      <xdr:nvSpPr>
        <xdr:cNvPr id="19" name="テキスト ボックス 18">
          <a:extLst>
            <a:ext uri="{FF2B5EF4-FFF2-40B4-BE49-F238E27FC236}">
              <a16:creationId xmlns:a16="http://schemas.microsoft.com/office/drawing/2014/main" id="{00000000-0008-0000-0400-000013000000}"/>
            </a:ext>
          </a:extLst>
        </xdr:cNvPr>
        <xdr:cNvSpPr txBox="1"/>
      </xdr:nvSpPr>
      <xdr:spPr>
        <a:xfrm>
          <a:off x="8470901" y="1997076"/>
          <a:ext cx="793749" cy="24130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kumimoji="1" lang="ja-JP" altLang="en-US" sz="1100"/>
            <a:t>カード検索</a:t>
          </a:r>
        </a:p>
      </xdr:txBody>
    </xdr:sp>
    <xdr:clientData/>
  </xdr:twoCellAnchor>
  <xdr:twoCellAnchor>
    <xdr:from>
      <xdr:col>1</xdr:col>
      <xdr:colOff>123825</xdr:colOff>
      <xdr:row>12</xdr:row>
      <xdr:rowOff>171449</xdr:rowOff>
    </xdr:from>
    <xdr:to>
      <xdr:col>23</xdr:col>
      <xdr:colOff>104775</xdr:colOff>
      <xdr:row>14</xdr:row>
      <xdr:rowOff>47624</xdr:rowOff>
    </xdr:to>
    <xdr:sp macro="" textlink="">
      <xdr:nvSpPr>
        <xdr:cNvPr id="20" name="テキスト ボックス 19">
          <a:extLst>
            <a:ext uri="{FF2B5EF4-FFF2-40B4-BE49-F238E27FC236}">
              <a16:creationId xmlns:a16="http://schemas.microsoft.com/office/drawing/2014/main" id="{00000000-0008-0000-0400-000014000000}"/>
            </a:ext>
          </a:extLst>
        </xdr:cNvPr>
        <xdr:cNvSpPr txBox="1"/>
      </xdr:nvSpPr>
      <xdr:spPr>
        <a:xfrm>
          <a:off x="307975" y="2006599"/>
          <a:ext cx="4032250" cy="23177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bg1">
                  <a:lumMod val="65000"/>
                </a:schemeClr>
              </a:solidFill>
            </a:rPr>
            <a:t>シャーロックホームズ</a:t>
          </a:r>
        </a:p>
      </xdr:txBody>
    </xdr:sp>
    <xdr:clientData/>
  </xdr:twoCellAnchor>
  <xdr:twoCellAnchor>
    <xdr:from>
      <xdr:col>24</xdr:col>
      <xdr:colOff>85725</xdr:colOff>
      <xdr:row>12</xdr:row>
      <xdr:rowOff>171450</xdr:rowOff>
    </xdr:from>
    <xdr:to>
      <xdr:col>45</xdr:col>
      <xdr:colOff>76200</xdr:colOff>
      <xdr:row>14</xdr:row>
      <xdr:rowOff>47625</xdr:rowOff>
    </xdr:to>
    <xdr:sp macro="" textlink="">
      <xdr:nvSpPr>
        <xdr:cNvPr id="21" name="テキスト ボックス 20">
          <a:extLst>
            <a:ext uri="{FF2B5EF4-FFF2-40B4-BE49-F238E27FC236}">
              <a16:creationId xmlns:a16="http://schemas.microsoft.com/office/drawing/2014/main" id="{00000000-0008-0000-0400-000015000000}"/>
            </a:ext>
          </a:extLst>
        </xdr:cNvPr>
        <xdr:cNvSpPr txBox="1"/>
      </xdr:nvSpPr>
      <xdr:spPr>
        <a:xfrm>
          <a:off x="4505325" y="2006600"/>
          <a:ext cx="3857625" cy="23177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検索対象：□名前　□特徴　□テキスト　□カード番号</a:t>
          </a:r>
        </a:p>
      </xdr:txBody>
    </xdr:sp>
    <xdr:clientData/>
  </xdr:twoCellAnchor>
  <xdr:twoCellAnchor>
    <xdr:from>
      <xdr:col>1</xdr:col>
      <xdr:colOff>123825</xdr:colOff>
      <xdr:row>15</xdr:row>
      <xdr:rowOff>152401</xdr:rowOff>
    </xdr:from>
    <xdr:to>
      <xdr:col>10</xdr:col>
      <xdr:colOff>1976</xdr:colOff>
      <xdr:row>17</xdr:row>
      <xdr:rowOff>6351</xdr:rowOff>
    </xdr:to>
    <xdr:sp macro="" textlink="">
      <xdr:nvSpPr>
        <xdr:cNvPr id="22" name="テキスト ボックス 27">
          <a:extLst>
            <a:ext uri="{FF2B5EF4-FFF2-40B4-BE49-F238E27FC236}">
              <a16:creationId xmlns:a16="http://schemas.microsoft.com/office/drawing/2014/main" id="{00000000-0008-0000-0400-000016000000}"/>
            </a:ext>
          </a:extLst>
        </xdr:cNvPr>
        <xdr:cNvSpPr txBox="1"/>
      </xdr:nvSpPr>
      <xdr:spPr>
        <a:xfrm>
          <a:off x="307975" y="2508251"/>
          <a:ext cx="1535501" cy="184150"/>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・マイデッキ</a:t>
          </a:r>
        </a:p>
      </xdr:txBody>
    </xdr:sp>
    <xdr:clientData/>
  </xdr:twoCellAnchor>
  <xdr:twoCellAnchor>
    <xdr:from>
      <xdr:col>1</xdr:col>
      <xdr:colOff>171450</xdr:colOff>
      <xdr:row>35</xdr:row>
      <xdr:rowOff>0</xdr:rowOff>
    </xdr:from>
    <xdr:to>
      <xdr:col>10</xdr:col>
      <xdr:colOff>33726</xdr:colOff>
      <xdr:row>36</xdr:row>
      <xdr:rowOff>66059</xdr:rowOff>
    </xdr:to>
    <xdr:sp macro="" textlink="">
      <xdr:nvSpPr>
        <xdr:cNvPr id="23" name="テキスト ボックス 27">
          <a:extLst>
            <a:ext uri="{FF2B5EF4-FFF2-40B4-BE49-F238E27FC236}">
              <a16:creationId xmlns:a16="http://schemas.microsoft.com/office/drawing/2014/main" id="{00000000-0008-0000-0400-000017000000}"/>
            </a:ext>
          </a:extLst>
        </xdr:cNvPr>
        <xdr:cNvSpPr txBox="1"/>
      </xdr:nvSpPr>
      <xdr:spPr>
        <a:xfrm>
          <a:off x="355600" y="4006850"/>
          <a:ext cx="1519626" cy="23115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・よく検索されるカード</a:t>
          </a:r>
          <a:endParaRPr kumimoji="1" lang="en-US" altLang="ja-JP" sz="800" b="1">
            <a:solidFill>
              <a:schemeClr val="tx1">
                <a:lumMod val="50000"/>
                <a:lumOff val="50000"/>
              </a:schemeClr>
            </a:solidFill>
          </a:endParaRPr>
        </a:p>
      </xdr:txBody>
    </xdr:sp>
    <xdr:clientData/>
  </xdr:twoCellAnchor>
  <xdr:twoCellAnchor>
    <xdr:from>
      <xdr:col>3</xdr:col>
      <xdr:colOff>66675</xdr:colOff>
      <xdr:row>36</xdr:row>
      <xdr:rowOff>114300</xdr:rowOff>
    </xdr:from>
    <xdr:to>
      <xdr:col>7</xdr:col>
      <xdr:colOff>188098</xdr:colOff>
      <xdr:row>43</xdr:row>
      <xdr:rowOff>111515</xdr:rowOff>
    </xdr:to>
    <xdr:sp macro="" textlink="">
      <xdr:nvSpPr>
        <xdr:cNvPr id="24" name="テキスト ボックス 27">
          <a:extLst>
            <a:ext uri="{FF2B5EF4-FFF2-40B4-BE49-F238E27FC236}">
              <a16:creationId xmlns:a16="http://schemas.microsoft.com/office/drawing/2014/main" id="{00000000-0008-0000-0400-000018000000}"/>
            </a:ext>
          </a:extLst>
        </xdr:cNvPr>
        <xdr:cNvSpPr txBox="1"/>
      </xdr:nvSpPr>
      <xdr:spPr>
        <a:xfrm>
          <a:off x="619125" y="4286250"/>
          <a:ext cx="851673"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カード①</a:t>
          </a:r>
          <a:endParaRPr kumimoji="1" lang="ja-JP" altLang="en-US" sz="800">
            <a:solidFill>
              <a:srgbClr val="0070C0"/>
            </a:solidFill>
          </a:endParaRPr>
        </a:p>
      </xdr:txBody>
    </xdr:sp>
    <xdr:clientData/>
  </xdr:twoCellAnchor>
  <xdr:twoCellAnchor>
    <xdr:from>
      <xdr:col>17</xdr:col>
      <xdr:colOff>97400</xdr:colOff>
      <xdr:row>36</xdr:row>
      <xdr:rowOff>123622</xdr:rowOff>
    </xdr:from>
    <xdr:to>
      <xdr:col>22</xdr:col>
      <xdr:colOff>20502</xdr:colOff>
      <xdr:row>43</xdr:row>
      <xdr:rowOff>120837</xdr:rowOff>
    </xdr:to>
    <xdr:sp macro="" textlink="">
      <xdr:nvSpPr>
        <xdr:cNvPr id="25" name="テキスト ボックス 27">
          <a:extLst>
            <a:ext uri="{FF2B5EF4-FFF2-40B4-BE49-F238E27FC236}">
              <a16:creationId xmlns:a16="http://schemas.microsoft.com/office/drawing/2014/main" id="{00000000-0008-0000-0400-000019000000}"/>
            </a:ext>
          </a:extLst>
        </xdr:cNvPr>
        <xdr:cNvSpPr txBox="1"/>
      </xdr:nvSpPr>
      <xdr:spPr>
        <a:xfrm>
          <a:off x="3227950" y="4295572"/>
          <a:ext cx="843852"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カード③</a:t>
          </a:r>
          <a:endParaRPr kumimoji="1" lang="ja-JP" altLang="en-US" sz="800">
            <a:solidFill>
              <a:srgbClr val="0070C0"/>
            </a:solidFill>
          </a:endParaRPr>
        </a:p>
      </xdr:txBody>
    </xdr:sp>
    <xdr:clientData/>
  </xdr:twoCellAnchor>
  <xdr:twoCellAnchor>
    <xdr:from>
      <xdr:col>10</xdr:col>
      <xdr:colOff>58831</xdr:colOff>
      <xdr:row>36</xdr:row>
      <xdr:rowOff>123622</xdr:rowOff>
    </xdr:from>
    <xdr:to>
      <xdr:col>14</xdr:col>
      <xdr:colOff>181960</xdr:colOff>
      <xdr:row>43</xdr:row>
      <xdr:rowOff>120837</xdr:rowOff>
    </xdr:to>
    <xdr:sp macro="" textlink="">
      <xdr:nvSpPr>
        <xdr:cNvPr id="26" name="テキスト ボックス 27">
          <a:extLst>
            <a:ext uri="{FF2B5EF4-FFF2-40B4-BE49-F238E27FC236}">
              <a16:creationId xmlns:a16="http://schemas.microsoft.com/office/drawing/2014/main" id="{00000000-0008-0000-0400-00001A000000}"/>
            </a:ext>
          </a:extLst>
        </xdr:cNvPr>
        <xdr:cNvSpPr txBox="1"/>
      </xdr:nvSpPr>
      <xdr:spPr>
        <a:xfrm>
          <a:off x="1900331" y="4295572"/>
          <a:ext cx="859729"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カード②</a:t>
          </a:r>
          <a:endParaRPr kumimoji="1" lang="ja-JP" altLang="en-US" sz="800">
            <a:solidFill>
              <a:srgbClr val="0070C0"/>
            </a:solidFill>
          </a:endParaRPr>
        </a:p>
      </xdr:txBody>
    </xdr:sp>
    <xdr:clientData/>
  </xdr:twoCellAnchor>
  <xdr:twoCellAnchor>
    <xdr:from>
      <xdr:col>24</xdr:col>
      <xdr:colOff>185058</xdr:colOff>
      <xdr:row>36</xdr:row>
      <xdr:rowOff>142672</xdr:rowOff>
    </xdr:from>
    <xdr:to>
      <xdr:col>29</xdr:col>
      <xdr:colOff>106456</xdr:colOff>
      <xdr:row>43</xdr:row>
      <xdr:rowOff>139887</xdr:rowOff>
    </xdr:to>
    <xdr:sp macro="" textlink="">
      <xdr:nvSpPr>
        <xdr:cNvPr id="27" name="テキスト ボックス 27">
          <a:extLst>
            <a:ext uri="{FF2B5EF4-FFF2-40B4-BE49-F238E27FC236}">
              <a16:creationId xmlns:a16="http://schemas.microsoft.com/office/drawing/2014/main" id="{00000000-0008-0000-0400-00001B000000}"/>
            </a:ext>
          </a:extLst>
        </xdr:cNvPr>
        <xdr:cNvSpPr txBox="1"/>
      </xdr:nvSpPr>
      <xdr:spPr>
        <a:xfrm>
          <a:off x="4604658" y="4314622"/>
          <a:ext cx="842148"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カード④</a:t>
          </a:r>
          <a:endParaRPr kumimoji="1" lang="ja-JP" altLang="en-US" sz="800">
            <a:solidFill>
              <a:srgbClr val="0070C0"/>
            </a:solidFill>
          </a:endParaRPr>
        </a:p>
      </xdr:txBody>
    </xdr:sp>
    <xdr:clientData/>
  </xdr:twoCellAnchor>
  <xdr:twoCellAnchor>
    <xdr:from>
      <xdr:col>32</xdr:col>
      <xdr:colOff>42181</xdr:colOff>
      <xdr:row>36</xdr:row>
      <xdr:rowOff>133147</xdr:rowOff>
    </xdr:from>
    <xdr:to>
      <xdr:col>36</xdr:col>
      <xdr:colOff>163607</xdr:colOff>
      <xdr:row>43</xdr:row>
      <xdr:rowOff>130362</xdr:rowOff>
    </xdr:to>
    <xdr:sp macro="" textlink="">
      <xdr:nvSpPr>
        <xdr:cNvPr id="28" name="テキスト ボックス 27">
          <a:extLst>
            <a:ext uri="{FF2B5EF4-FFF2-40B4-BE49-F238E27FC236}">
              <a16:creationId xmlns:a16="http://schemas.microsoft.com/office/drawing/2014/main" id="{00000000-0008-0000-0400-00001C000000}"/>
            </a:ext>
          </a:extLst>
        </xdr:cNvPr>
        <xdr:cNvSpPr txBox="1"/>
      </xdr:nvSpPr>
      <xdr:spPr>
        <a:xfrm>
          <a:off x="5934981" y="4305097"/>
          <a:ext cx="858026"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カード⑤</a:t>
          </a:r>
          <a:endParaRPr lang="en-US" altLang="ja-JP" sz="800">
            <a:solidFill>
              <a:srgbClr val="0070C0"/>
            </a:solidFill>
          </a:endParaRPr>
        </a:p>
      </xdr:txBody>
    </xdr:sp>
    <xdr:clientData/>
  </xdr:twoCellAnchor>
  <xdr:twoCellAnchor>
    <xdr:from>
      <xdr:col>2</xdr:col>
      <xdr:colOff>188819</xdr:colOff>
      <xdr:row>17</xdr:row>
      <xdr:rowOff>69663</xdr:rowOff>
    </xdr:from>
    <xdr:to>
      <xdr:col>7</xdr:col>
      <xdr:colOff>110217</xdr:colOff>
      <xdr:row>24</xdr:row>
      <xdr:rowOff>66878</xdr:rowOff>
    </xdr:to>
    <xdr:sp macro="" textlink="">
      <xdr:nvSpPr>
        <xdr:cNvPr id="29" name="テキスト ボックス 27">
          <a:extLst>
            <a:ext uri="{FF2B5EF4-FFF2-40B4-BE49-F238E27FC236}">
              <a16:creationId xmlns:a16="http://schemas.microsoft.com/office/drawing/2014/main" id="{00000000-0008-0000-0400-00001D000000}"/>
            </a:ext>
          </a:extLst>
        </xdr:cNvPr>
        <xdr:cNvSpPr txBox="1"/>
      </xdr:nvSpPr>
      <xdr:spPr>
        <a:xfrm>
          <a:off x="550769" y="4241613"/>
          <a:ext cx="848498"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デッキ①</a:t>
          </a:r>
          <a:endParaRPr kumimoji="1" lang="ja-JP" altLang="en-US" sz="800">
            <a:solidFill>
              <a:srgbClr val="0070C0"/>
            </a:solidFill>
          </a:endParaRPr>
        </a:p>
      </xdr:txBody>
    </xdr:sp>
    <xdr:clientData/>
  </xdr:twoCellAnchor>
  <xdr:twoCellAnchor>
    <xdr:from>
      <xdr:col>17</xdr:col>
      <xdr:colOff>19519</xdr:colOff>
      <xdr:row>17</xdr:row>
      <xdr:rowOff>78985</xdr:rowOff>
    </xdr:from>
    <xdr:to>
      <xdr:col>21</xdr:col>
      <xdr:colOff>142646</xdr:colOff>
      <xdr:row>24</xdr:row>
      <xdr:rowOff>76200</xdr:rowOff>
    </xdr:to>
    <xdr:sp macro="" textlink="">
      <xdr:nvSpPr>
        <xdr:cNvPr id="30" name="テキスト ボックス 27">
          <a:extLst>
            <a:ext uri="{FF2B5EF4-FFF2-40B4-BE49-F238E27FC236}">
              <a16:creationId xmlns:a16="http://schemas.microsoft.com/office/drawing/2014/main" id="{00000000-0008-0000-0400-00001E000000}"/>
            </a:ext>
          </a:extLst>
        </xdr:cNvPr>
        <xdr:cNvSpPr txBox="1"/>
      </xdr:nvSpPr>
      <xdr:spPr>
        <a:xfrm>
          <a:off x="3150069" y="4250935"/>
          <a:ext cx="859727"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デッキ③</a:t>
          </a:r>
          <a:endParaRPr kumimoji="1" lang="ja-JP" altLang="en-US" sz="800">
            <a:solidFill>
              <a:srgbClr val="0070C0"/>
            </a:solidFill>
          </a:endParaRPr>
        </a:p>
      </xdr:txBody>
    </xdr:sp>
    <xdr:clientData/>
  </xdr:twoCellAnchor>
  <xdr:twoCellAnchor>
    <xdr:from>
      <xdr:col>9</xdr:col>
      <xdr:colOff>180975</xdr:colOff>
      <xdr:row>17</xdr:row>
      <xdr:rowOff>78985</xdr:rowOff>
    </xdr:from>
    <xdr:to>
      <xdr:col>14</xdr:col>
      <xdr:colOff>104079</xdr:colOff>
      <xdr:row>24</xdr:row>
      <xdr:rowOff>76200</xdr:rowOff>
    </xdr:to>
    <xdr:sp macro="" textlink="">
      <xdr:nvSpPr>
        <xdr:cNvPr id="31" name="テキスト ボックス 27">
          <a:extLst>
            <a:ext uri="{FF2B5EF4-FFF2-40B4-BE49-F238E27FC236}">
              <a16:creationId xmlns:a16="http://schemas.microsoft.com/office/drawing/2014/main" id="{00000000-0008-0000-0400-00001F000000}"/>
            </a:ext>
          </a:extLst>
        </xdr:cNvPr>
        <xdr:cNvSpPr txBox="1"/>
      </xdr:nvSpPr>
      <xdr:spPr>
        <a:xfrm>
          <a:off x="1838325" y="4250935"/>
          <a:ext cx="843854"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デッキ②</a:t>
          </a:r>
          <a:endParaRPr kumimoji="1" lang="ja-JP" altLang="en-US" sz="800">
            <a:solidFill>
              <a:srgbClr val="0070C0"/>
            </a:solidFill>
          </a:endParaRPr>
        </a:p>
      </xdr:txBody>
    </xdr:sp>
    <xdr:clientData/>
  </xdr:twoCellAnchor>
  <xdr:twoCellAnchor>
    <xdr:from>
      <xdr:col>24</xdr:col>
      <xdr:colOff>107177</xdr:colOff>
      <xdr:row>17</xdr:row>
      <xdr:rowOff>98035</xdr:rowOff>
    </xdr:from>
    <xdr:to>
      <xdr:col>29</xdr:col>
      <xdr:colOff>28575</xdr:colOff>
      <xdr:row>24</xdr:row>
      <xdr:rowOff>95250</xdr:rowOff>
    </xdr:to>
    <xdr:sp macro="" textlink="">
      <xdr:nvSpPr>
        <xdr:cNvPr id="32" name="テキスト ボックス 27">
          <a:extLst>
            <a:ext uri="{FF2B5EF4-FFF2-40B4-BE49-F238E27FC236}">
              <a16:creationId xmlns:a16="http://schemas.microsoft.com/office/drawing/2014/main" id="{00000000-0008-0000-0400-000020000000}"/>
            </a:ext>
          </a:extLst>
        </xdr:cNvPr>
        <xdr:cNvSpPr txBox="1"/>
      </xdr:nvSpPr>
      <xdr:spPr>
        <a:xfrm>
          <a:off x="4526777" y="4269985"/>
          <a:ext cx="842148"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デッキ④</a:t>
          </a:r>
          <a:endParaRPr kumimoji="1" lang="ja-JP" altLang="en-US" sz="800">
            <a:solidFill>
              <a:srgbClr val="0070C0"/>
            </a:solidFill>
          </a:endParaRPr>
        </a:p>
      </xdr:txBody>
    </xdr:sp>
    <xdr:clientData/>
  </xdr:twoCellAnchor>
  <xdr:twoCellAnchor>
    <xdr:from>
      <xdr:col>31</xdr:col>
      <xdr:colOff>164325</xdr:colOff>
      <xdr:row>17</xdr:row>
      <xdr:rowOff>88510</xdr:rowOff>
    </xdr:from>
    <xdr:to>
      <xdr:col>36</xdr:col>
      <xdr:colOff>85726</xdr:colOff>
      <xdr:row>24</xdr:row>
      <xdr:rowOff>85725</xdr:rowOff>
    </xdr:to>
    <xdr:sp macro="" textlink="">
      <xdr:nvSpPr>
        <xdr:cNvPr id="33" name="テキスト ボックス 27">
          <a:extLst>
            <a:ext uri="{FF2B5EF4-FFF2-40B4-BE49-F238E27FC236}">
              <a16:creationId xmlns:a16="http://schemas.microsoft.com/office/drawing/2014/main" id="{00000000-0008-0000-0400-000021000000}"/>
            </a:ext>
          </a:extLst>
        </xdr:cNvPr>
        <xdr:cNvSpPr txBox="1"/>
      </xdr:nvSpPr>
      <xdr:spPr>
        <a:xfrm>
          <a:off x="5872975" y="4260460"/>
          <a:ext cx="842151" cy="11529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デッキ⑤</a:t>
          </a:r>
          <a:endParaRPr lang="en-US" altLang="ja-JP" sz="800">
            <a:solidFill>
              <a:srgbClr val="0070C0"/>
            </a:solidFill>
          </a:endParaRPr>
        </a:p>
      </xdr:txBody>
    </xdr:sp>
    <xdr:clientData/>
  </xdr:twoCellAnchor>
  <xdr:twoCellAnchor>
    <xdr:from>
      <xdr:col>1</xdr:col>
      <xdr:colOff>165100</xdr:colOff>
      <xdr:row>25</xdr:row>
      <xdr:rowOff>95250</xdr:rowOff>
    </xdr:from>
    <xdr:to>
      <xdr:col>10</xdr:col>
      <xdr:colOff>43251</xdr:colOff>
      <xdr:row>26</xdr:row>
      <xdr:rowOff>114300</xdr:rowOff>
    </xdr:to>
    <xdr:sp macro="" textlink="">
      <xdr:nvSpPr>
        <xdr:cNvPr id="34" name="テキスト ボックス 27">
          <a:extLst>
            <a:ext uri="{FF2B5EF4-FFF2-40B4-BE49-F238E27FC236}">
              <a16:creationId xmlns:a16="http://schemas.microsoft.com/office/drawing/2014/main" id="{00000000-0008-0000-0400-000022000000}"/>
            </a:ext>
          </a:extLst>
        </xdr:cNvPr>
        <xdr:cNvSpPr txBox="1"/>
      </xdr:nvSpPr>
      <xdr:spPr>
        <a:xfrm>
          <a:off x="349250" y="4102100"/>
          <a:ext cx="1535501" cy="184150"/>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・新着デッキ</a:t>
          </a:r>
        </a:p>
      </xdr:txBody>
    </xdr:sp>
    <xdr:clientData/>
  </xdr:twoCellAnchor>
  <xdr:twoCellAnchor>
    <xdr:from>
      <xdr:col>1</xdr:col>
      <xdr:colOff>9525</xdr:colOff>
      <xdr:row>15</xdr:row>
      <xdr:rowOff>0</xdr:rowOff>
    </xdr:from>
    <xdr:to>
      <xdr:col>52</xdr:col>
      <xdr:colOff>180975</xdr:colOff>
      <xdr:row>43</xdr:row>
      <xdr:rowOff>133350</xdr:rowOff>
    </xdr:to>
    <xdr:sp macro="" textlink="">
      <xdr:nvSpPr>
        <xdr:cNvPr id="35" name="正方形/長方形 34">
          <a:extLst>
            <a:ext uri="{FF2B5EF4-FFF2-40B4-BE49-F238E27FC236}">
              <a16:creationId xmlns:a16="http://schemas.microsoft.com/office/drawing/2014/main" id="{00000000-0008-0000-0400-000023000000}"/>
            </a:ext>
          </a:extLst>
        </xdr:cNvPr>
        <xdr:cNvSpPr/>
      </xdr:nvSpPr>
      <xdr:spPr>
        <a:xfrm>
          <a:off x="200025" y="2590800"/>
          <a:ext cx="9886950" cy="4933950"/>
        </a:xfrm>
        <a:prstGeom prst="rect">
          <a:avLst/>
        </a:prstGeom>
        <a:ln/>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9525</xdr:colOff>
      <xdr:row>12</xdr:row>
      <xdr:rowOff>76201</xdr:rowOff>
    </xdr:from>
    <xdr:to>
      <xdr:col>52</xdr:col>
      <xdr:colOff>180975</xdr:colOff>
      <xdr:row>14</xdr:row>
      <xdr:rowOff>133351</xdr:rowOff>
    </xdr:to>
    <xdr:sp macro="" textlink="">
      <xdr:nvSpPr>
        <xdr:cNvPr id="2" name="角丸四角形 1">
          <a:extLst>
            <a:ext uri="{FF2B5EF4-FFF2-40B4-BE49-F238E27FC236}">
              <a16:creationId xmlns:a16="http://schemas.microsoft.com/office/drawing/2014/main" id="{00000000-0008-0000-0500-000002000000}"/>
            </a:ext>
          </a:extLst>
        </xdr:cNvPr>
        <xdr:cNvSpPr/>
      </xdr:nvSpPr>
      <xdr:spPr>
        <a:xfrm>
          <a:off x="209550" y="1962151"/>
          <a:ext cx="10372725" cy="419100"/>
        </a:xfrm>
        <a:prstGeom prst="roundRect">
          <a:avLst>
            <a:gd name="adj" fmla="val 4743"/>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190500</xdr:colOff>
      <xdr:row>12</xdr:row>
      <xdr:rowOff>171450</xdr:rowOff>
    </xdr:from>
    <xdr:to>
      <xdr:col>51</xdr:col>
      <xdr:colOff>190500</xdr:colOff>
      <xdr:row>14</xdr:row>
      <xdr:rowOff>47625</xdr:rowOff>
    </xdr:to>
    <xdr:sp macro="" textlink="">
      <xdr:nvSpPr>
        <xdr:cNvPr id="3" name="二等辺三角形 2">
          <a:extLst>
            <a:ext uri="{FF2B5EF4-FFF2-40B4-BE49-F238E27FC236}">
              <a16:creationId xmlns:a16="http://schemas.microsoft.com/office/drawing/2014/main" id="{00000000-0008-0000-0500-000003000000}"/>
            </a:ext>
          </a:extLst>
        </xdr:cNvPr>
        <xdr:cNvSpPr/>
      </xdr:nvSpPr>
      <xdr:spPr>
        <a:xfrm rot="16200000">
          <a:off x="10172700" y="2076450"/>
          <a:ext cx="238125" cy="200025"/>
        </a:xfrm>
        <a:prstGeom prst="triangle">
          <a:avLst>
            <a:gd name="adj" fmla="val 46875"/>
          </a:avLst>
        </a:prstGeom>
        <a:solidFill>
          <a:schemeClr val="tx2">
            <a:lumMod val="5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45</xdr:col>
      <xdr:colOff>190501</xdr:colOff>
      <xdr:row>12</xdr:row>
      <xdr:rowOff>161926</xdr:rowOff>
    </xdr:from>
    <xdr:to>
      <xdr:col>50</xdr:col>
      <xdr:colOff>57150</xdr:colOff>
      <xdr:row>14</xdr:row>
      <xdr:rowOff>47626</xdr:rowOff>
    </xdr:to>
    <xdr:sp macro="" textlink="">
      <xdr:nvSpPr>
        <xdr:cNvPr id="19" name="テキスト ボックス 18">
          <a:extLst>
            <a:ext uri="{FF2B5EF4-FFF2-40B4-BE49-F238E27FC236}">
              <a16:creationId xmlns:a16="http://schemas.microsoft.com/office/drawing/2014/main" id="{00000000-0008-0000-0500-000013000000}"/>
            </a:ext>
          </a:extLst>
        </xdr:cNvPr>
        <xdr:cNvSpPr txBox="1"/>
      </xdr:nvSpPr>
      <xdr:spPr>
        <a:xfrm>
          <a:off x="9191626" y="2047876"/>
          <a:ext cx="866774" cy="24765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kumimoji="1" lang="ja-JP" altLang="en-US" sz="1100"/>
            <a:t>カード検索</a:t>
          </a:r>
        </a:p>
      </xdr:txBody>
    </xdr:sp>
    <xdr:clientData/>
  </xdr:twoCellAnchor>
  <xdr:twoCellAnchor>
    <xdr:from>
      <xdr:col>24</xdr:col>
      <xdr:colOff>85725</xdr:colOff>
      <xdr:row>12</xdr:row>
      <xdr:rowOff>171450</xdr:rowOff>
    </xdr:from>
    <xdr:to>
      <xdr:col>45</xdr:col>
      <xdr:colOff>76200</xdr:colOff>
      <xdr:row>14</xdr:row>
      <xdr:rowOff>47625</xdr:rowOff>
    </xdr:to>
    <xdr:sp macro="" textlink="">
      <xdr:nvSpPr>
        <xdr:cNvPr id="21" name="テキスト ボックス 20">
          <a:extLst>
            <a:ext uri="{FF2B5EF4-FFF2-40B4-BE49-F238E27FC236}">
              <a16:creationId xmlns:a16="http://schemas.microsoft.com/office/drawing/2014/main" id="{00000000-0008-0000-0500-000015000000}"/>
            </a:ext>
          </a:extLst>
        </xdr:cNvPr>
        <xdr:cNvSpPr txBox="1"/>
      </xdr:nvSpPr>
      <xdr:spPr>
        <a:xfrm>
          <a:off x="4886325" y="2057400"/>
          <a:ext cx="4191000" cy="23812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検索対象：□名前　□特徴　□テキスト　□カード番号</a:t>
          </a:r>
        </a:p>
      </xdr:txBody>
    </xdr:sp>
    <xdr:clientData/>
  </xdr:twoCellAnchor>
  <xdr:twoCellAnchor>
    <xdr:from>
      <xdr:col>1</xdr:col>
      <xdr:colOff>0</xdr:colOff>
      <xdr:row>9</xdr:row>
      <xdr:rowOff>0</xdr:rowOff>
    </xdr:from>
    <xdr:to>
      <xdr:col>53</xdr:col>
      <xdr:colOff>0</xdr:colOff>
      <xdr:row>12</xdr:row>
      <xdr:rowOff>44823</xdr:rowOff>
    </xdr:to>
    <xdr:sp macro="" textlink="">
      <xdr:nvSpPr>
        <xdr:cNvPr id="5" name="角丸四角形 4">
          <a:extLst>
            <a:ext uri="{FF2B5EF4-FFF2-40B4-BE49-F238E27FC236}">
              <a16:creationId xmlns:a16="http://schemas.microsoft.com/office/drawing/2014/main" id="{00000000-0008-0000-0500-000005000000}"/>
            </a:ext>
          </a:extLst>
        </xdr:cNvPr>
        <xdr:cNvSpPr/>
      </xdr:nvSpPr>
      <xdr:spPr>
        <a:xfrm>
          <a:off x="190500" y="1565413"/>
          <a:ext cx="9906000" cy="566627"/>
        </a:xfrm>
        <a:prstGeom prst="roundRect">
          <a:avLst>
            <a:gd name="adj" fmla="val 4743"/>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200024</xdr:colOff>
      <xdr:row>34</xdr:row>
      <xdr:rowOff>0</xdr:rowOff>
    </xdr:from>
    <xdr:to>
      <xdr:col>52</xdr:col>
      <xdr:colOff>190499</xdr:colOff>
      <xdr:row>41</xdr:row>
      <xdr:rowOff>0</xdr:rowOff>
    </xdr:to>
    <xdr:sp macro="" textlink="">
      <xdr:nvSpPr>
        <xdr:cNvPr id="4" name="テキスト ボックス 27">
          <a:extLst>
            <a:ext uri="{FF2B5EF4-FFF2-40B4-BE49-F238E27FC236}">
              <a16:creationId xmlns:a16="http://schemas.microsoft.com/office/drawing/2014/main" id="{00000000-0008-0000-0500-000004000000}"/>
            </a:ext>
          </a:extLst>
        </xdr:cNvPr>
        <xdr:cNvSpPr txBox="1"/>
      </xdr:nvSpPr>
      <xdr:spPr>
        <a:xfrm>
          <a:off x="200024" y="5676900"/>
          <a:ext cx="10391775" cy="1200150"/>
        </a:xfrm>
        <a:prstGeom prst="rect">
          <a:avLst/>
        </a:prstGeom>
        <a:solidFill>
          <a:schemeClr val="accent1">
            <a:lumMod val="75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ltLang="ja-JP" sz="800">
            <a:solidFill>
              <a:srgbClr val="0070C0"/>
            </a:solidFill>
          </a:endParaRPr>
        </a:p>
      </xdr:txBody>
    </xdr:sp>
    <xdr:clientData/>
  </xdr:twoCellAnchor>
  <xdr:twoCellAnchor>
    <xdr:from>
      <xdr:col>1</xdr:col>
      <xdr:colOff>130250</xdr:colOff>
      <xdr:row>9</xdr:row>
      <xdr:rowOff>97634</xdr:rowOff>
    </xdr:from>
    <xdr:to>
      <xdr:col>20</xdr:col>
      <xdr:colOff>102471</xdr:colOff>
      <xdr:row>11</xdr:row>
      <xdr:rowOff>153872</xdr:rowOff>
    </xdr:to>
    <xdr:sp macro="" textlink="">
      <xdr:nvSpPr>
        <xdr:cNvPr id="6" name="テキスト ボックス 19">
          <a:extLst>
            <a:ext uri="{FF2B5EF4-FFF2-40B4-BE49-F238E27FC236}">
              <a16:creationId xmlns:a16="http://schemas.microsoft.com/office/drawing/2014/main" id="{00000000-0008-0000-0500-000006000000}"/>
            </a:ext>
            <a:ext uri="{147F2762-F138-4A5C-976F-8EAC2B608ADB}">
              <a16:predDERef xmlns:a16="http://schemas.microsoft.com/office/drawing/2014/main" pred="{0514E06D-31DA-4E0C-9871-C38B5600A2FC}"/>
            </a:ext>
          </a:extLst>
        </xdr:cNvPr>
        <xdr:cNvSpPr txBox="1"/>
      </xdr:nvSpPr>
      <xdr:spPr>
        <a:xfrm>
          <a:off x="330275" y="1469234"/>
          <a:ext cx="3772696" cy="399138"/>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b="1">
              <a:solidFill>
                <a:schemeClr val="accent1">
                  <a:lumMod val="75000"/>
                </a:schemeClr>
              </a:solidFill>
            </a:rPr>
            <a:t>ヴァイスシュバルツ　</a:t>
          </a:r>
          <a:r>
            <a:rPr kumimoji="1" lang="en-US" altLang="ja-JP" b="1">
              <a:solidFill>
                <a:schemeClr val="accent1">
                  <a:lumMod val="75000"/>
                </a:schemeClr>
              </a:solidFill>
            </a:rPr>
            <a:t>BSP</a:t>
          </a:r>
          <a:endParaRPr kumimoji="1" lang="ja-JP" altLang="en-US" b="1">
            <a:solidFill>
              <a:schemeClr val="accent1">
                <a:lumMod val="75000"/>
              </a:schemeClr>
            </a:solidFill>
          </a:endParaRPr>
        </a:p>
      </xdr:txBody>
    </xdr:sp>
    <xdr:clientData/>
  </xdr:twoCellAnchor>
  <xdr:twoCellAnchor>
    <xdr:from>
      <xdr:col>2</xdr:col>
      <xdr:colOff>188819</xdr:colOff>
      <xdr:row>17</xdr:row>
      <xdr:rowOff>69663</xdr:rowOff>
    </xdr:from>
    <xdr:to>
      <xdr:col>7</xdr:col>
      <xdr:colOff>110217</xdr:colOff>
      <xdr:row>24</xdr:row>
      <xdr:rowOff>66878</xdr:rowOff>
    </xdr:to>
    <xdr:sp macro="" textlink="">
      <xdr:nvSpPr>
        <xdr:cNvPr id="7" name="テキスト ボックス 27">
          <a:extLst>
            <a:ext uri="{FF2B5EF4-FFF2-40B4-BE49-F238E27FC236}">
              <a16:creationId xmlns:a16="http://schemas.microsoft.com/office/drawing/2014/main" id="{00000000-0008-0000-0500-000007000000}"/>
            </a:ext>
          </a:extLst>
        </xdr:cNvPr>
        <xdr:cNvSpPr txBox="1"/>
      </xdr:nvSpPr>
      <xdr:spPr>
        <a:xfrm>
          <a:off x="588869" y="2831913"/>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デッキ①</a:t>
          </a:r>
          <a:endParaRPr kumimoji="1" lang="ja-JP" altLang="en-US" sz="800">
            <a:solidFill>
              <a:srgbClr val="0070C0"/>
            </a:solidFill>
          </a:endParaRPr>
        </a:p>
      </xdr:txBody>
    </xdr:sp>
    <xdr:clientData/>
  </xdr:twoCellAnchor>
  <xdr:twoCellAnchor>
    <xdr:from>
      <xdr:col>17</xdr:col>
      <xdr:colOff>19519</xdr:colOff>
      <xdr:row>17</xdr:row>
      <xdr:rowOff>78985</xdr:rowOff>
    </xdr:from>
    <xdr:to>
      <xdr:col>21</xdr:col>
      <xdr:colOff>142646</xdr:colOff>
      <xdr:row>24</xdr:row>
      <xdr:rowOff>76200</xdr:rowOff>
    </xdr:to>
    <xdr:sp macro="" textlink="">
      <xdr:nvSpPr>
        <xdr:cNvPr id="8" name="テキスト ボックス 27">
          <a:extLst>
            <a:ext uri="{FF2B5EF4-FFF2-40B4-BE49-F238E27FC236}">
              <a16:creationId xmlns:a16="http://schemas.microsoft.com/office/drawing/2014/main" id="{00000000-0008-0000-0500-000008000000}"/>
            </a:ext>
          </a:extLst>
        </xdr:cNvPr>
        <xdr:cNvSpPr txBox="1"/>
      </xdr:nvSpPr>
      <xdr:spPr>
        <a:xfrm>
          <a:off x="3419944" y="2841235"/>
          <a:ext cx="923227"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デッキ③</a:t>
          </a:r>
          <a:endParaRPr kumimoji="1" lang="ja-JP" altLang="en-US" sz="800">
            <a:solidFill>
              <a:srgbClr val="0070C0"/>
            </a:solidFill>
          </a:endParaRPr>
        </a:p>
      </xdr:txBody>
    </xdr:sp>
    <xdr:clientData/>
  </xdr:twoCellAnchor>
  <xdr:twoCellAnchor>
    <xdr:from>
      <xdr:col>9</xdr:col>
      <xdr:colOff>180975</xdr:colOff>
      <xdr:row>17</xdr:row>
      <xdr:rowOff>78985</xdr:rowOff>
    </xdr:from>
    <xdr:to>
      <xdr:col>14</xdr:col>
      <xdr:colOff>104079</xdr:colOff>
      <xdr:row>24</xdr:row>
      <xdr:rowOff>76200</xdr:rowOff>
    </xdr:to>
    <xdr:sp macro="" textlink="">
      <xdr:nvSpPr>
        <xdr:cNvPr id="9" name="テキスト ボックス 27">
          <a:extLst>
            <a:ext uri="{FF2B5EF4-FFF2-40B4-BE49-F238E27FC236}">
              <a16:creationId xmlns:a16="http://schemas.microsoft.com/office/drawing/2014/main" id="{00000000-0008-0000-0500-000009000000}"/>
            </a:ext>
          </a:extLst>
        </xdr:cNvPr>
        <xdr:cNvSpPr txBox="1"/>
      </xdr:nvSpPr>
      <xdr:spPr>
        <a:xfrm>
          <a:off x="1981200" y="2841235"/>
          <a:ext cx="923229"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デッキ②</a:t>
          </a:r>
          <a:endParaRPr kumimoji="1" lang="ja-JP" altLang="en-US" sz="800">
            <a:solidFill>
              <a:srgbClr val="0070C0"/>
            </a:solidFill>
          </a:endParaRPr>
        </a:p>
      </xdr:txBody>
    </xdr:sp>
    <xdr:clientData/>
  </xdr:twoCellAnchor>
  <xdr:twoCellAnchor>
    <xdr:from>
      <xdr:col>1</xdr:col>
      <xdr:colOff>147817</xdr:colOff>
      <xdr:row>35</xdr:row>
      <xdr:rowOff>46011</xdr:rowOff>
    </xdr:from>
    <xdr:to>
      <xdr:col>10</xdr:col>
      <xdr:colOff>106391</xdr:colOff>
      <xdr:row>39</xdr:row>
      <xdr:rowOff>100400</xdr:rowOff>
    </xdr:to>
    <xdr:grpSp>
      <xdr:nvGrpSpPr>
        <xdr:cNvPr id="10" name="グループ化 9">
          <a:extLst>
            <a:ext uri="{FF2B5EF4-FFF2-40B4-BE49-F238E27FC236}">
              <a16:creationId xmlns:a16="http://schemas.microsoft.com/office/drawing/2014/main" id="{00000000-0008-0000-0500-00000A000000}"/>
            </a:ext>
          </a:extLst>
        </xdr:cNvPr>
        <xdr:cNvGrpSpPr/>
      </xdr:nvGrpSpPr>
      <xdr:grpSpPr>
        <a:xfrm>
          <a:off x="319267" y="5868961"/>
          <a:ext cx="1501624" cy="714789"/>
          <a:chOff x="811766" y="6041157"/>
          <a:chExt cx="1772246" cy="726742"/>
        </a:xfrm>
      </xdr:grpSpPr>
      <xdr:grpSp>
        <xdr:nvGrpSpPr>
          <xdr:cNvPr id="11" name="グループ化 10">
            <a:extLst>
              <a:ext uri="{FF2B5EF4-FFF2-40B4-BE49-F238E27FC236}">
                <a16:creationId xmlns:a16="http://schemas.microsoft.com/office/drawing/2014/main" id="{00000000-0008-0000-0500-00000B000000}"/>
              </a:ext>
            </a:extLst>
          </xdr:cNvPr>
          <xdr:cNvGrpSpPr/>
        </xdr:nvGrpSpPr>
        <xdr:grpSpPr>
          <a:xfrm>
            <a:off x="828493" y="6041157"/>
            <a:ext cx="1755519" cy="474285"/>
            <a:chOff x="2887683" y="2170921"/>
            <a:chExt cx="1779851" cy="435984"/>
          </a:xfrm>
        </xdr:grpSpPr>
        <xdr:sp macro="" textlink="">
          <xdr:nvSpPr>
            <xdr:cNvPr id="13" name="テキスト ボックス 26">
              <a:extLst>
                <a:ext uri="{FF2B5EF4-FFF2-40B4-BE49-F238E27FC236}">
                  <a16:creationId xmlns:a16="http://schemas.microsoft.com/office/drawing/2014/main" id="{00000000-0008-0000-0500-00000D000000}"/>
                </a:ext>
              </a:extLst>
            </xdr:cNvPr>
            <xdr:cNvSpPr txBox="1"/>
          </xdr:nvSpPr>
          <xdr:spPr>
            <a:xfrm>
              <a:off x="2887683" y="2170921"/>
              <a:ext cx="1779851"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会員登録はこちら</a:t>
              </a:r>
            </a:p>
          </xdr:txBody>
        </xdr:sp>
        <xdr:sp macro="" textlink="">
          <xdr:nvSpPr>
            <xdr:cNvPr id="14" name="テキスト ボックス 27">
              <a:extLst>
                <a:ext uri="{FF2B5EF4-FFF2-40B4-BE49-F238E27FC236}">
                  <a16:creationId xmlns:a16="http://schemas.microsoft.com/office/drawing/2014/main" id="{00000000-0008-0000-0500-00000E000000}"/>
                </a:ext>
              </a:extLst>
            </xdr:cNvPr>
            <xdr:cNvSpPr txBox="1"/>
          </xdr:nvSpPr>
          <xdr:spPr>
            <a:xfrm>
              <a:off x="2887683" y="2391461"/>
              <a:ext cx="1709255"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b="1">
                  <a:solidFill>
                    <a:schemeClr val="bg1"/>
                  </a:solidFill>
                </a:rPr>
                <a:t>ログイン</a:t>
              </a:r>
              <a:r>
                <a:rPr kumimoji="1" lang="ja-JP" altLang="en-US" sz="800" b="1">
                  <a:solidFill>
                    <a:schemeClr val="bg1"/>
                  </a:solidFill>
                </a:rPr>
                <a:t>はこちら</a:t>
              </a:r>
            </a:p>
          </xdr:txBody>
        </xdr:sp>
      </xdr:grpSp>
      <xdr:sp macro="" textlink="">
        <xdr:nvSpPr>
          <xdr:cNvPr id="12" name="テキスト ボックス 27">
            <a:extLst>
              <a:ext uri="{FF2B5EF4-FFF2-40B4-BE49-F238E27FC236}">
                <a16:creationId xmlns:a16="http://schemas.microsoft.com/office/drawing/2014/main" id="{00000000-0008-0000-0500-00000C000000}"/>
              </a:ext>
            </a:extLst>
          </xdr:cNvPr>
          <xdr:cNvSpPr txBox="1"/>
        </xdr:nvSpPr>
        <xdr:spPr>
          <a:xfrm>
            <a:off x="811766" y="6534705"/>
            <a:ext cx="1675212" cy="23319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すぐに対戦を始める</a:t>
            </a:r>
          </a:p>
        </xdr:txBody>
      </xdr:sp>
    </xdr:grpSp>
    <xdr:clientData/>
  </xdr:twoCellAnchor>
  <xdr:twoCellAnchor>
    <xdr:from>
      <xdr:col>24</xdr:col>
      <xdr:colOff>107177</xdr:colOff>
      <xdr:row>17</xdr:row>
      <xdr:rowOff>98035</xdr:rowOff>
    </xdr:from>
    <xdr:to>
      <xdr:col>29</xdr:col>
      <xdr:colOff>28575</xdr:colOff>
      <xdr:row>24</xdr:row>
      <xdr:rowOff>95250</xdr:rowOff>
    </xdr:to>
    <xdr:sp macro="" textlink="">
      <xdr:nvSpPr>
        <xdr:cNvPr id="15" name="テキスト ボックス 27">
          <a:extLst>
            <a:ext uri="{FF2B5EF4-FFF2-40B4-BE49-F238E27FC236}">
              <a16:creationId xmlns:a16="http://schemas.microsoft.com/office/drawing/2014/main" id="{00000000-0008-0000-0500-00000F000000}"/>
            </a:ext>
          </a:extLst>
        </xdr:cNvPr>
        <xdr:cNvSpPr txBox="1"/>
      </xdr:nvSpPr>
      <xdr:spPr>
        <a:xfrm>
          <a:off x="4907777" y="2860285"/>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デッキ④</a:t>
          </a:r>
          <a:endParaRPr kumimoji="1" lang="ja-JP" altLang="en-US" sz="800">
            <a:solidFill>
              <a:srgbClr val="0070C0"/>
            </a:solidFill>
          </a:endParaRPr>
        </a:p>
      </xdr:txBody>
    </xdr:sp>
    <xdr:clientData/>
  </xdr:twoCellAnchor>
  <xdr:twoCellAnchor>
    <xdr:from>
      <xdr:col>31</xdr:col>
      <xdr:colOff>164325</xdr:colOff>
      <xdr:row>17</xdr:row>
      <xdr:rowOff>88510</xdr:rowOff>
    </xdr:from>
    <xdr:to>
      <xdr:col>36</xdr:col>
      <xdr:colOff>85726</xdr:colOff>
      <xdr:row>24</xdr:row>
      <xdr:rowOff>85725</xdr:rowOff>
    </xdr:to>
    <xdr:sp macro="" textlink="">
      <xdr:nvSpPr>
        <xdr:cNvPr id="16" name="テキスト ボックス 27">
          <a:extLst>
            <a:ext uri="{FF2B5EF4-FFF2-40B4-BE49-F238E27FC236}">
              <a16:creationId xmlns:a16="http://schemas.microsoft.com/office/drawing/2014/main" id="{00000000-0008-0000-0500-000010000000}"/>
            </a:ext>
          </a:extLst>
        </xdr:cNvPr>
        <xdr:cNvSpPr txBox="1"/>
      </xdr:nvSpPr>
      <xdr:spPr>
        <a:xfrm>
          <a:off x="6365100" y="2850760"/>
          <a:ext cx="921526"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デッキ⑤</a:t>
          </a:r>
          <a:endParaRPr lang="en-US" altLang="ja-JP" sz="800">
            <a:solidFill>
              <a:srgbClr val="0070C0"/>
            </a:solidFill>
          </a:endParaRPr>
        </a:p>
      </xdr:txBody>
    </xdr:sp>
    <xdr:clientData/>
  </xdr:twoCellAnchor>
  <xdr:twoCellAnchor>
    <xdr:from>
      <xdr:col>1</xdr:col>
      <xdr:colOff>123825</xdr:colOff>
      <xdr:row>12</xdr:row>
      <xdr:rowOff>171449</xdr:rowOff>
    </xdr:from>
    <xdr:to>
      <xdr:col>23</xdr:col>
      <xdr:colOff>104775</xdr:colOff>
      <xdr:row>14</xdr:row>
      <xdr:rowOff>47624</xdr:rowOff>
    </xdr:to>
    <xdr:sp macro="" textlink="">
      <xdr:nvSpPr>
        <xdr:cNvPr id="20" name="テキスト ボックス 19">
          <a:extLst>
            <a:ext uri="{FF2B5EF4-FFF2-40B4-BE49-F238E27FC236}">
              <a16:creationId xmlns:a16="http://schemas.microsoft.com/office/drawing/2014/main" id="{00000000-0008-0000-0500-000014000000}"/>
            </a:ext>
          </a:extLst>
        </xdr:cNvPr>
        <xdr:cNvSpPr txBox="1"/>
      </xdr:nvSpPr>
      <xdr:spPr>
        <a:xfrm>
          <a:off x="323850" y="2057399"/>
          <a:ext cx="4381500" cy="23812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bg1">
                  <a:lumMod val="65000"/>
                </a:schemeClr>
              </a:solidFill>
            </a:rPr>
            <a:t>シャーロックホームズ</a:t>
          </a:r>
        </a:p>
      </xdr:txBody>
    </xdr:sp>
    <xdr:clientData/>
  </xdr:twoCellAnchor>
  <xdr:twoCellAnchor>
    <xdr:from>
      <xdr:col>1</xdr:col>
      <xdr:colOff>123825</xdr:colOff>
      <xdr:row>15</xdr:row>
      <xdr:rowOff>152400</xdr:rowOff>
    </xdr:from>
    <xdr:to>
      <xdr:col>9</xdr:col>
      <xdr:colOff>186126</xdr:colOff>
      <xdr:row>17</xdr:row>
      <xdr:rowOff>47009</xdr:rowOff>
    </xdr:to>
    <xdr:sp macro="" textlink="">
      <xdr:nvSpPr>
        <xdr:cNvPr id="22" name="テキスト ボックス 27">
          <a:extLst>
            <a:ext uri="{FF2B5EF4-FFF2-40B4-BE49-F238E27FC236}">
              <a16:creationId xmlns:a16="http://schemas.microsoft.com/office/drawing/2014/main" id="{00000000-0008-0000-0500-000016000000}"/>
            </a:ext>
          </a:extLst>
        </xdr:cNvPr>
        <xdr:cNvSpPr txBox="1"/>
      </xdr:nvSpPr>
      <xdr:spPr>
        <a:xfrm>
          <a:off x="323850" y="257175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・新着デッキ</a:t>
          </a:r>
        </a:p>
      </xdr:txBody>
    </xdr:sp>
    <xdr:clientData/>
  </xdr:twoCellAnchor>
  <xdr:twoCellAnchor>
    <xdr:from>
      <xdr:col>1</xdr:col>
      <xdr:colOff>171450</xdr:colOff>
      <xdr:row>25</xdr:row>
      <xdr:rowOff>0</xdr:rowOff>
    </xdr:from>
    <xdr:to>
      <xdr:col>10</xdr:col>
      <xdr:colOff>33726</xdr:colOff>
      <xdr:row>26</xdr:row>
      <xdr:rowOff>66059</xdr:rowOff>
    </xdr:to>
    <xdr:sp macro="" textlink="">
      <xdr:nvSpPr>
        <xdr:cNvPr id="23" name="テキスト ボックス 27">
          <a:extLst>
            <a:ext uri="{FF2B5EF4-FFF2-40B4-BE49-F238E27FC236}">
              <a16:creationId xmlns:a16="http://schemas.microsoft.com/office/drawing/2014/main" id="{00000000-0008-0000-0500-000017000000}"/>
            </a:ext>
          </a:extLst>
        </xdr:cNvPr>
        <xdr:cNvSpPr txBox="1"/>
      </xdr:nvSpPr>
      <xdr:spPr>
        <a:xfrm>
          <a:off x="371475" y="413385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・よく検索されるカード</a:t>
          </a:r>
          <a:endParaRPr kumimoji="1" lang="en-US" altLang="ja-JP" sz="800" b="1">
            <a:solidFill>
              <a:schemeClr val="tx1">
                <a:lumMod val="50000"/>
                <a:lumOff val="50000"/>
              </a:schemeClr>
            </a:solidFill>
          </a:endParaRPr>
        </a:p>
      </xdr:txBody>
    </xdr:sp>
    <xdr:clientData/>
  </xdr:twoCellAnchor>
  <xdr:twoCellAnchor>
    <xdr:from>
      <xdr:col>3</xdr:col>
      <xdr:colOff>66675</xdr:colOff>
      <xdr:row>26</xdr:row>
      <xdr:rowOff>114300</xdr:rowOff>
    </xdr:from>
    <xdr:to>
      <xdr:col>7</xdr:col>
      <xdr:colOff>188098</xdr:colOff>
      <xdr:row>33</xdr:row>
      <xdr:rowOff>111515</xdr:rowOff>
    </xdr:to>
    <xdr:sp macro="" textlink="">
      <xdr:nvSpPr>
        <xdr:cNvPr id="24" name="テキスト ボックス 27">
          <a:extLst>
            <a:ext uri="{FF2B5EF4-FFF2-40B4-BE49-F238E27FC236}">
              <a16:creationId xmlns:a16="http://schemas.microsoft.com/office/drawing/2014/main" id="{00000000-0008-0000-0500-000018000000}"/>
            </a:ext>
          </a:extLst>
        </xdr:cNvPr>
        <xdr:cNvSpPr txBox="1"/>
      </xdr:nvSpPr>
      <xdr:spPr>
        <a:xfrm>
          <a:off x="666750" y="4419600"/>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カード①</a:t>
          </a:r>
          <a:endParaRPr kumimoji="1" lang="ja-JP" altLang="en-US" sz="800">
            <a:solidFill>
              <a:srgbClr val="0070C0"/>
            </a:solidFill>
          </a:endParaRPr>
        </a:p>
      </xdr:txBody>
    </xdr:sp>
    <xdr:clientData/>
  </xdr:twoCellAnchor>
  <xdr:twoCellAnchor>
    <xdr:from>
      <xdr:col>17</xdr:col>
      <xdr:colOff>97400</xdr:colOff>
      <xdr:row>26</xdr:row>
      <xdr:rowOff>123622</xdr:rowOff>
    </xdr:from>
    <xdr:to>
      <xdr:col>22</xdr:col>
      <xdr:colOff>20502</xdr:colOff>
      <xdr:row>33</xdr:row>
      <xdr:rowOff>120837</xdr:rowOff>
    </xdr:to>
    <xdr:sp macro="" textlink="">
      <xdr:nvSpPr>
        <xdr:cNvPr id="25" name="テキスト ボックス 27">
          <a:extLst>
            <a:ext uri="{FF2B5EF4-FFF2-40B4-BE49-F238E27FC236}">
              <a16:creationId xmlns:a16="http://schemas.microsoft.com/office/drawing/2014/main" id="{00000000-0008-0000-0500-000019000000}"/>
            </a:ext>
          </a:extLst>
        </xdr:cNvPr>
        <xdr:cNvSpPr txBox="1"/>
      </xdr:nvSpPr>
      <xdr:spPr>
        <a:xfrm>
          <a:off x="3497825" y="4428922"/>
          <a:ext cx="923227"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カード③</a:t>
          </a:r>
          <a:endParaRPr kumimoji="1" lang="ja-JP" altLang="en-US" sz="800">
            <a:solidFill>
              <a:srgbClr val="0070C0"/>
            </a:solidFill>
          </a:endParaRPr>
        </a:p>
      </xdr:txBody>
    </xdr:sp>
    <xdr:clientData/>
  </xdr:twoCellAnchor>
  <xdr:twoCellAnchor>
    <xdr:from>
      <xdr:col>10</xdr:col>
      <xdr:colOff>58831</xdr:colOff>
      <xdr:row>26</xdr:row>
      <xdr:rowOff>123622</xdr:rowOff>
    </xdr:from>
    <xdr:to>
      <xdr:col>14</xdr:col>
      <xdr:colOff>181960</xdr:colOff>
      <xdr:row>33</xdr:row>
      <xdr:rowOff>120837</xdr:rowOff>
    </xdr:to>
    <xdr:sp macro="" textlink="">
      <xdr:nvSpPr>
        <xdr:cNvPr id="26" name="テキスト ボックス 27">
          <a:extLst>
            <a:ext uri="{FF2B5EF4-FFF2-40B4-BE49-F238E27FC236}">
              <a16:creationId xmlns:a16="http://schemas.microsoft.com/office/drawing/2014/main" id="{00000000-0008-0000-0500-00001A000000}"/>
            </a:ext>
          </a:extLst>
        </xdr:cNvPr>
        <xdr:cNvSpPr txBox="1"/>
      </xdr:nvSpPr>
      <xdr:spPr>
        <a:xfrm>
          <a:off x="2059081" y="4428922"/>
          <a:ext cx="923229"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カード②</a:t>
          </a:r>
          <a:endParaRPr kumimoji="1" lang="ja-JP" altLang="en-US" sz="800">
            <a:solidFill>
              <a:srgbClr val="0070C0"/>
            </a:solidFill>
          </a:endParaRPr>
        </a:p>
      </xdr:txBody>
    </xdr:sp>
    <xdr:clientData/>
  </xdr:twoCellAnchor>
  <xdr:twoCellAnchor>
    <xdr:from>
      <xdr:col>24</xdr:col>
      <xdr:colOff>185058</xdr:colOff>
      <xdr:row>26</xdr:row>
      <xdr:rowOff>142672</xdr:rowOff>
    </xdr:from>
    <xdr:to>
      <xdr:col>29</xdr:col>
      <xdr:colOff>106456</xdr:colOff>
      <xdr:row>33</xdr:row>
      <xdr:rowOff>139887</xdr:rowOff>
    </xdr:to>
    <xdr:sp macro="" textlink="">
      <xdr:nvSpPr>
        <xdr:cNvPr id="27" name="テキスト ボックス 27">
          <a:extLst>
            <a:ext uri="{FF2B5EF4-FFF2-40B4-BE49-F238E27FC236}">
              <a16:creationId xmlns:a16="http://schemas.microsoft.com/office/drawing/2014/main" id="{00000000-0008-0000-0500-00001B000000}"/>
            </a:ext>
          </a:extLst>
        </xdr:cNvPr>
        <xdr:cNvSpPr txBox="1"/>
      </xdr:nvSpPr>
      <xdr:spPr>
        <a:xfrm>
          <a:off x="4985658" y="4447972"/>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カード④</a:t>
          </a:r>
          <a:endParaRPr kumimoji="1" lang="ja-JP" altLang="en-US" sz="800">
            <a:solidFill>
              <a:srgbClr val="0070C0"/>
            </a:solidFill>
          </a:endParaRPr>
        </a:p>
      </xdr:txBody>
    </xdr:sp>
    <xdr:clientData/>
  </xdr:twoCellAnchor>
  <xdr:twoCellAnchor>
    <xdr:from>
      <xdr:col>32</xdr:col>
      <xdr:colOff>42181</xdr:colOff>
      <xdr:row>26</xdr:row>
      <xdr:rowOff>133147</xdr:rowOff>
    </xdr:from>
    <xdr:to>
      <xdr:col>36</xdr:col>
      <xdr:colOff>163607</xdr:colOff>
      <xdr:row>33</xdr:row>
      <xdr:rowOff>130362</xdr:rowOff>
    </xdr:to>
    <xdr:sp macro="" textlink="">
      <xdr:nvSpPr>
        <xdr:cNvPr id="28" name="テキスト ボックス 27">
          <a:extLst>
            <a:ext uri="{FF2B5EF4-FFF2-40B4-BE49-F238E27FC236}">
              <a16:creationId xmlns:a16="http://schemas.microsoft.com/office/drawing/2014/main" id="{00000000-0008-0000-0500-00001C000000}"/>
            </a:ext>
          </a:extLst>
        </xdr:cNvPr>
        <xdr:cNvSpPr txBox="1"/>
      </xdr:nvSpPr>
      <xdr:spPr>
        <a:xfrm>
          <a:off x="6442981" y="4438447"/>
          <a:ext cx="921526"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カード⑤</a:t>
          </a:r>
          <a:endParaRPr lang="en-US" altLang="ja-JP" sz="800">
            <a:solidFill>
              <a:srgbClr val="0070C0"/>
            </a:solidFill>
          </a:endParaRPr>
        </a:p>
      </xdr:txBody>
    </xdr:sp>
    <xdr:clientData/>
  </xdr:twoCellAnchor>
  <xdr:twoCellAnchor>
    <xdr:from>
      <xdr:col>1</xdr:col>
      <xdr:colOff>16565</xdr:colOff>
      <xdr:row>14</xdr:row>
      <xdr:rowOff>165652</xdr:rowOff>
    </xdr:from>
    <xdr:to>
      <xdr:col>52</xdr:col>
      <xdr:colOff>188015</xdr:colOff>
      <xdr:row>33</xdr:row>
      <xdr:rowOff>140804</xdr:rowOff>
    </xdr:to>
    <xdr:sp macro="" textlink="">
      <xdr:nvSpPr>
        <xdr:cNvPr id="31" name="正方形/長方形 30">
          <a:extLst>
            <a:ext uri="{FF2B5EF4-FFF2-40B4-BE49-F238E27FC236}">
              <a16:creationId xmlns:a16="http://schemas.microsoft.com/office/drawing/2014/main" id="{00000000-0008-0000-0500-00001F000000}"/>
            </a:ext>
          </a:extLst>
        </xdr:cNvPr>
        <xdr:cNvSpPr/>
      </xdr:nvSpPr>
      <xdr:spPr>
        <a:xfrm>
          <a:off x="207065" y="2617304"/>
          <a:ext cx="9886950" cy="3279913"/>
        </a:xfrm>
        <a:prstGeom prst="rect">
          <a:avLst/>
        </a:prstGeom>
        <a:ln/>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twoCellAnchor>
    <xdr:from>
      <xdr:col>43</xdr:col>
      <xdr:colOff>86139</xdr:colOff>
      <xdr:row>9</xdr:row>
      <xdr:rowOff>26503</xdr:rowOff>
    </xdr:from>
    <xdr:to>
      <xdr:col>52</xdr:col>
      <xdr:colOff>168689</xdr:colOff>
      <xdr:row>19</xdr:row>
      <xdr:rowOff>76200</xdr:rowOff>
    </xdr:to>
    <xdr:sp macro="" textlink="">
      <xdr:nvSpPr>
        <xdr:cNvPr id="29" name="角丸四角形 28">
          <a:extLst>
            <a:ext uri="{FF2B5EF4-FFF2-40B4-BE49-F238E27FC236}">
              <a16:creationId xmlns:a16="http://schemas.microsoft.com/office/drawing/2014/main" id="{00000000-0008-0000-0500-00001D000000}"/>
            </a:ext>
          </a:extLst>
        </xdr:cNvPr>
        <xdr:cNvSpPr/>
      </xdr:nvSpPr>
      <xdr:spPr>
        <a:xfrm>
          <a:off x="8277639" y="1569553"/>
          <a:ext cx="1797050" cy="1783247"/>
        </a:xfrm>
        <a:prstGeom prst="roundRect">
          <a:avLst>
            <a:gd name="adj" fmla="val 6663"/>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b="1">
            <a:solidFill>
              <a:schemeClr val="accent1">
                <a:lumMod val="75000"/>
              </a:schemeClr>
            </a:solidFill>
          </a:endParaRPr>
        </a:p>
      </xdr:txBody>
    </xdr:sp>
    <xdr:clientData/>
  </xdr:twoCellAnchor>
  <xdr:twoCellAnchor>
    <xdr:from>
      <xdr:col>51</xdr:col>
      <xdr:colOff>49618</xdr:colOff>
      <xdr:row>9</xdr:row>
      <xdr:rowOff>141729</xdr:rowOff>
    </xdr:from>
    <xdr:to>
      <xdr:col>52</xdr:col>
      <xdr:colOff>64595</xdr:colOff>
      <xdr:row>10</xdr:row>
      <xdr:rowOff>128281</xdr:rowOff>
    </xdr:to>
    <xdr:sp macro="" textlink="">
      <xdr:nvSpPr>
        <xdr:cNvPr id="18" name="Menu Button" descr="&lt;Tags&gt;&lt;SMARTRESIZEANCHORS&gt;Absolute,None,None,Absolute&lt;/SMARTRESIZEANCHORS&gt;&lt;/Tags&gt;">
          <a:extLst>
            <a:ext uri="{FF2B5EF4-FFF2-40B4-BE49-F238E27FC236}">
              <a16:creationId xmlns:a16="http://schemas.microsoft.com/office/drawing/2014/main" id="{00000000-0008-0000-0500-000012000000}"/>
            </a:ext>
          </a:extLst>
        </xdr:cNvPr>
        <xdr:cNvSpPr>
          <a:spLocks noChangeAspect="1" noEditPoints="1"/>
        </xdr:cNvSpPr>
      </xdr:nvSpPr>
      <xdr:spPr bwMode="auto">
        <a:xfrm>
          <a:off x="9765118" y="1707142"/>
          <a:ext cx="205477" cy="160487"/>
        </a:xfrm>
        <a:custGeom>
          <a:avLst/>
          <a:gdLst>
            <a:gd name="T0" fmla="*/ 0 w 415"/>
            <a:gd name="T1" fmla="*/ 309 h 309"/>
            <a:gd name="T2" fmla="*/ 415 w 415"/>
            <a:gd name="T3" fmla="*/ 309 h 309"/>
            <a:gd name="T4" fmla="*/ 0 w 415"/>
            <a:gd name="T5" fmla="*/ 155 h 309"/>
            <a:gd name="T6" fmla="*/ 415 w 415"/>
            <a:gd name="T7" fmla="*/ 155 h 309"/>
            <a:gd name="T8" fmla="*/ 0 w 415"/>
            <a:gd name="T9" fmla="*/ 0 h 309"/>
            <a:gd name="T10" fmla="*/ 415 w 415"/>
            <a:gd name="T11" fmla="*/ 0 h 309"/>
          </a:gdLst>
          <a:ahLst/>
          <a:cxnLst>
            <a:cxn ang="0">
              <a:pos x="T0" y="T1"/>
            </a:cxn>
            <a:cxn ang="0">
              <a:pos x="T2" y="T3"/>
            </a:cxn>
            <a:cxn ang="0">
              <a:pos x="T4" y="T5"/>
            </a:cxn>
            <a:cxn ang="0">
              <a:pos x="T6" y="T7"/>
            </a:cxn>
            <a:cxn ang="0">
              <a:pos x="T8" y="T9"/>
            </a:cxn>
            <a:cxn ang="0">
              <a:pos x="T10" y="T11"/>
            </a:cxn>
          </a:cxnLst>
          <a:rect l="0" t="0" r="r" b="b"/>
          <a:pathLst>
            <a:path w="415" h="309">
              <a:moveTo>
                <a:pt x="0" y="309"/>
              </a:moveTo>
              <a:lnTo>
                <a:pt x="415" y="309"/>
              </a:lnTo>
              <a:moveTo>
                <a:pt x="0" y="155"/>
              </a:moveTo>
              <a:lnTo>
                <a:pt x="415" y="155"/>
              </a:lnTo>
              <a:moveTo>
                <a:pt x="0" y="0"/>
              </a:moveTo>
              <a:lnTo>
                <a:pt x="415" y="0"/>
              </a:lnTo>
            </a:path>
          </a:pathLst>
        </a:custGeom>
        <a:noFill/>
        <a:ln w="6350" cap="flat">
          <a:solidFill>
            <a:srgbClr val="80808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solidFill>
              <a:srgbClr val="5F5F5F"/>
            </a:solidFill>
            <a:latin typeface="Segoe UI" panose="020B0502040204020203" pitchFamily="34" charset="0"/>
            <a:cs typeface="Segoe UI" panose="020B0502040204020203" pitchFamily="34" charset="0"/>
          </a:endParaRPr>
        </a:p>
      </xdr:txBody>
    </xdr:sp>
    <xdr:clientData/>
  </xdr:twoCellAnchor>
  <xdr:twoCellAnchor>
    <xdr:from>
      <xdr:col>44</xdr:col>
      <xdr:colOff>1</xdr:colOff>
      <xdr:row>9</xdr:row>
      <xdr:rowOff>77497</xdr:rowOff>
    </xdr:from>
    <xdr:to>
      <xdr:col>54</xdr:col>
      <xdr:colOff>44175</xdr:colOff>
      <xdr:row>19</xdr:row>
      <xdr:rowOff>95250</xdr:rowOff>
    </xdr:to>
    <xdr:sp macro="" textlink="">
      <xdr:nvSpPr>
        <xdr:cNvPr id="30" name="テキスト ボックス 29">
          <a:extLst>
            <a:ext uri="{FF2B5EF4-FFF2-40B4-BE49-F238E27FC236}">
              <a16:creationId xmlns:a16="http://schemas.microsoft.com/office/drawing/2014/main" id="{00000000-0008-0000-0500-00001E000000}"/>
            </a:ext>
          </a:extLst>
        </xdr:cNvPr>
        <xdr:cNvSpPr txBox="1"/>
      </xdr:nvSpPr>
      <xdr:spPr>
        <a:xfrm>
          <a:off x="8382001" y="1620547"/>
          <a:ext cx="1949174" cy="1751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ja-JP" altLang="en-US" b="1">
              <a:solidFill>
                <a:schemeClr val="accent1">
                  <a:lumMod val="75000"/>
                </a:schemeClr>
              </a:solidFill>
              <a:effectLst/>
            </a:rPr>
            <a:t>カードゲームしよ子</a:t>
          </a:r>
          <a:endParaRPr lang="ja-JP" altLang="ja-JP" b="1">
            <a:solidFill>
              <a:schemeClr val="accent1">
                <a:lumMod val="75000"/>
              </a:schemeClr>
            </a:solidFill>
            <a:effectLst/>
          </a:endParaRPr>
        </a:p>
        <a:p>
          <a:endParaRPr kumimoji="1" lang="en-US" altLang="ja-JP" sz="1100" b="1">
            <a:solidFill>
              <a:schemeClr val="accent1">
                <a:lumMod val="75000"/>
              </a:schemeClr>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1">
              <a:solidFill>
                <a:schemeClr val="tx2">
                  <a:lumMod val="75000"/>
                </a:schemeClr>
              </a:solidFill>
              <a:effectLst/>
              <a:latin typeface="+mn-lt"/>
              <a:ea typeface="+mn-ea"/>
              <a:cs typeface="+mn-cs"/>
            </a:rPr>
            <a:t>マイメニュー</a:t>
          </a:r>
          <a:endParaRPr kumimoji="1" lang="en-US" altLang="ja-JP" sz="1100" b="1">
            <a:solidFill>
              <a:schemeClr val="tx2">
                <a:lumMod val="75000"/>
              </a:schemeClr>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b="1" u="none">
              <a:solidFill>
                <a:schemeClr val="accent1">
                  <a:lumMod val="75000"/>
                </a:schemeClr>
              </a:solidFill>
              <a:effectLst/>
              <a:latin typeface="+mn-lt"/>
              <a:ea typeface="+mn-ea"/>
              <a:cs typeface="+mn-cs"/>
            </a:rPr>
            <a:t>お知らせ</a:t>
          </a:r>
          <a:r>
            <a:rPr kumimoji="1" lang="en-US" altLang="ja-JP" sz="1100" b="1" u="none" baseline="0">
              <a:solidFill>
                <a:schemeClr val="accent1">
                  <a:lumMod val="75000"/>
                </a:schemeClr>
              </a:solidFill>
              <a:effectLst/>
              <a:latin typeface="+mn-lt"/>
              <a:ea typeface="+mn-ea"/>
              <a:cs typeface="+mn-cs"/>
            </a:rPr>
            <a:t> </a:t>
          </a:r>
          <a:r>
            <a:rPr kumimoji="1" lang="en-US" altLang="ja-JP" sz="1100" b="1" u="none" baseline="0">
              <a:solidFill>
                <a:srgbClr val="FF0000"/>
              </a:solidFill>
              <a:effectLst/>
              <a:latin typeface="+mn-lt"/>
              <a:ea typeface="+mn-ea"/>
              <a:cs typeface="+mn-cs"/>
            </a:rPr>
            <a:t>new!</a:t>
          </a:r>
          <a:endParaRPr lang="ja-JP" altLang="ja-JP" u="none">
            <a:solidFill>
              <a:srgbClr val="FF0000"/>
            </a:solidFill>
            <a:effectLst/>
          </a:endParaRPr>
        </a:p>
        <a:p>
          <a:r>
            <a:rPr kumimoji="1" lang="ja-JP" altLang="ja-JP" sz="1100" b="1">
              <a:solidFill>
                <a:schemeClr val="accent1">
                  <a:lumMod val="75000"/>
                </a:schemeClr>
              </a:solidFill>
              <a:effectLst/>
              <a:latin typeface="+mn-lt"/>
              <a:ea typeface="+mn-ea"/>
              <a:cs typeface="+mn-cs"/>
            </a:rPr>
            <a:t>対戦履歴</a:t>
          </a:r>
          <a:endParaRPr lang="ja-JP" altLang="ja-JP">
            <a:solidFill>
              <a:schemeClr val="accent1">
                <a:lumMod val="75000"/>
              </a:schemeClr>
            </a:solidFill>
            <a:effectLst/>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b="1">
              <a:solidFill>
                <a:schemeClr val="accent1">
                  <a:lumMod val="75000"/>
                </a:schemeClr>
              </a:solidFill>
              <a:effectLst/>
              <a:latin typeface="+mn-lt"/>
              <a:ea typeface="+mn-ea"/>
              <a:cs typeface="+mn-cs"/>
            </a:rPr>
            <a:t>マイデッキ</a:t>
          </a:r>
          <a:endParaRPr kumimoji="1" lang="en-US" altLang="ja-JP" sz="1100" b="1">
            <a:solidFill>
              <a:schemeClr val="accent1">
                <a:lumMod val="75000"/>
              </a:schemeClr>
            </a:solidFill>
            <a:effectLst/>
            <a:latin typeface="+mn-lt"/>
            <a:ea typeface="+mn-ea"/>
            <a:cs typeface="+mn-cs"/>
          </a:endParaRPr>
        </a:p>
        <a:p>
          <a:r>
            <a:rPr kumimoji="1" lang="ja-JP" altLang="en-US" sz="1100" b="1">
              <a:solidFill>
                <a:schemeClr val="accent1">
                  <a:lumMod val="75000"/>
                </a:schemeClr>
              </a:solidFill>
              <a:effectLst/>
              <a:latin typeface="+mn-lt"/>
              <a:ea typeface="+mn-ea"/>
              <a:cs typeface="+mn-cs"/>
            </a:rPr>
            <a:t>マイ</a:t>
          </a:r>
          <a:r>
            <a:rPr kumimoji="1" lang="ja-JP" altLang="ja-JP" sz="1100" b="1">
              <a:solidFill>
                <a:schemeClr val="accent1">
                  <a:lumMod val="75000"/>
                </a:schemeClr>
              </a:solidFill>
              <a:effectLst/>
              <a:latin typeface="+mn-lt"/>
              <a:ea typeface="+mn-ea"/>
              <a:cs typeface="+mn-cs"/>
            </a:rPr>
            <a:t>フレンド</a:t>
          </a:r>
          <a:endParaRPr lang="ja-JP" altLang="ja-JP">
            <a:solidFill>
              <a:schemeClr val="accent1">
                <a:lumMod val="75000"/>
              </a:schemeClr>
            </a:solidFill>
            <a:effectLst/>
          </a:endParaRPr>
        </a:p>
        <a:p>
          <a:r>
            <a:rPr kumimoji="1" lang="ja-JP" altLang="en-US" sz="1100" b="1">
              <a:solidFill>
                <a:schemeClr val="accent1">
                  <a:lumMod val="75000"/>
                </a:schemeClr>
              </a:solidFill>
              <a:effectLst/>
              <a:latin typeface="+mn-lt"/>
              <a:ea typeface="+mn-ea"/>
              <a:cs typeface="+mn-cs"/>
            </a:rPr>
            <a:t>マイ</a:t>
          </a:r>
          <a:r>
            <a:rPr kumimoji="1" lang="ja-JP" altLang="ja-JP" sz="1100" b="1">
              <a:solidFill>
                <a:schemeClr val="accent1">
                  <a:lumMod val="75000"/>
                </a:schemeClr>
              </a:solidFill>
              <a:effectLst/>
              <a:latin typeface="+mn-lt"/>
              <a:ea typeface="+mn-ea"/>
              <a:cs typeface="+mn-cs"/>
            </a:rPr>
            <a:t>プロフィール</a:t>
          </a:r>
          <a:endParaRPr kumimoji="1" lang="en-US" altLang="ja-JP" sz="1100" b="1">
            <a:solidFill>
              <a:schemeClr val="accent1">
                <a:lumMod val="75000"/>
              </a:schemeClr>
            </a:solidFill>
            <a:effectLst/>
            <a:latin typeface="+mn-lt"/>
            <a:ea typeface="+mn-ea"/>
            <a:cs typeface="+mn-cs"/>
          </a:endParaRPr>
        </a:p>
        <a:p>
          <a:r>
            <a:rPr kumimoji="1" lang="ja-JP" altLang="en-US" sz="1100" b="1">
              <a:solidFill>
                <a:schemeClr val="accent1">
                  <a:lumMod val="75000"/>
                </a:schemeClr>
              </a:solidFill>
              <a:effectLst/>
              <a:latin typeface="+mn-lt"/>
              <a:ea typeface="+mn-ea"/>
              <a:cs typeface="+mn-cs"/>
            </a:rPr>
            <a:t>ログアウト</a:t>
          </a:r>
          <a:endParaRPr lang="ja-JP" altLang="ja-JP">
            <a:solidFill>
              <a:schemeClr val="accent1">
                <a:lumMod val="75000"/>
              </a:schemeClr>
            </a:solidFill>
            <a:effectLst/>
          </a:endParaRPr>
        </a:p>
        <a:p>
          <a:endParaRPr kumimoji="1" lang="ja-JP" altLang="en-US" sz="1100">
            <a:solidFill>
              <a:schemeClr val="accent1">
                <a:lumMod val="50000"/>
              </a:schemeClr>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188819</xdr:colOff>
      <xdr:row>17</xdr:row>
      <xdr:rowOff>69663</xdr:rowOff>
    </xdr:from>
    <xdr:to>
      <xdr:col>7</xdr:col>
      <xdr:colOff>110217</xdr:colOff>
      <xdr:row>24</xdr:row>
      <xdr:rowOff>66878</xdr:rowOff>
    </xdr:to>
    <xdr:sp macro="" textlink="">
      <xdr:nvSpPr>
        <xdr:cNvPr id="29" name="テキスト ボックス 27">
          <a:extLst>
            <a:ext uri="{FF2B5EF4-FFF2-40B4-BE49-F238E27FC236}">
              <a16:creationId xmlns:a16="http://schemas.microsoft.com/office/drawing/2014/main" id="{00000000-0008-0000-0600-00001D000000}"/>
            </a:ext>
          </a:extLst>
        </xdr:cNvPr>
        <xdr:cNvSpPr txBox="1"/>
      </xdr:nvSpPr>
      <xdr:spPr>
        <a:xfrm>
          <a:off x="588869" y="2831913"/>
          <a:ext cx="921523" cy="12545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デッキ①</a:t>
          </a:r>
          <a:endParaRPr kumimoji="1" lang="ja-JP" altLang="en-US" sz="800">
            <a:solidFill>
              <a:srgbClr val="0070C0"/>
            </a:solidFill>
          </a:endParaRPr>
        </a:p>
      </xdr:txBody>
    </xdr:sp>
    <xdr:clientData/>
  </xdr:twoCellAnchor>
  <xdr:twoCellAnchor>
    <xdr:from>
      <xdr:col>17</xdr:col>
      <xdr:colOff>19519</xdr:colOff>
      <xdr:row>17</xdr:row>
      <xdr:rowOff>78985</xdr:rowOff>
    </xdr:from>
    <xdr:to>
      <xdr:col>21</xdr:col>
      <xdr:colOff>142646</xdr:colOff>
      <xdr:row>24</xdr:row>
      <xdr:rowOff>76200</xdr:rowOff>
    </xdr:to>
    <xdr:sp macro="" textlink="">
      <xdr:nvSpPr>
        <xdr:cNvPr id="30" name="テキスト ボックス 27">
          <a:extLst>
            <a:ext uri="{FF2B5EF4-FFF2-40B4-BE49-F238E27FC236}">
              <a16:creationId xmlns:a16="http://schemas.microsoft.com/office/drawing/2014/main" id="{00000000-0008-0000-0600-00001E000000}"/>
            </a:ext>
          </a:extLst>
        </xdr:cNvPr>
        <xdr:cNvSpPr txBox="1"/>
      </xdr:nvSpPr>
      <xdr:spPr>
        <a:xfrm>
          <a:off x="3419944" y="2841235"/>
          <a:ext cx="923227" cy="12545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デッキ③</a:t>
          </a:r>
          <a:endParaRPr kumimoji="1" lang="ja-JP" altLang="en-US" sz="800">
            <a:solidFill>
              <a:srgbClr val="0070C0"/>
            </a:solidFill>
          </a:endParaRPr>
        </a:p>
      </xdr:txBody>
    </xdr:sp>
    <xdr:clientData/>
  </xdr:twoCellAnchor>
  <xdr:twoCellAnchor>
    <xdr:from>
      <xdr:col>9</xdr:col>
      <xdr:colOff>180975</xdr:colOff>
      <xdr:row>17</xdr:row>
      <xdr:rowOff>78985</xdr:rowOff>
    </xdr:from>
    <xdr:to>
      <xdr:col>14</xdr:col>
      <xdr:colOff>104079</xdr:colOff>
      <xdr:row>24</xdr:row>
      <xdr:rowOff>76200</xdr:rowOff>
    </xdr:to>
    <xdr:sp macro="" textlink="">
      <xdr:nvSpPr>
        <xdr:cNvPr id="31" name="テキスト ボックス 27">
          <a:extLst>
            <a:ext uri="{FF2B5EF4-FFF2-40B4-BE49-F238E27FC236}">
              <a16:creationId xmlns:a16="http://schemas.microsoft.com/office/drawing/2014/main" id="{00000000-0008-0000-0600-00001F000000}"/>
            </a:ext>
          </a:extLst>
        </xdr:cNvPr>
        <xdr:cNvSpPr txBox="1"/>
      </xdr:nvSpPr>
      <xdr:spPr>
        <a:xfrm>
          <a:off x="1981200" y="2841235"/>
          <a:ext cx="923229" cy="12545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デッキ②</a:t>
          </a:r>
          <a:endParaRPr kumimoji="1" lang="ja-JP" altLang="en-US" sz="800">
            <a:solidFill>
              <a:srgbClr val="0070C0"/>
            </a:solidFill>
          </a:endParaRPr>
        </a:p>
      </xdr:txBody>
    </xdr:sp>
    <xdr:clientData/>
  </xdr:twoCellAnchor>
  <xdr:twoCellAnchor>
    <xdr:from>
      <xdr:col>24</xdr:col>
      <xdr:colOff>107177</xdr:colOff>
      <xdr:row>17</xdr:row>
      <xdr:rowOff>98035</xdr:rowOff>
    </xdr:from>
    <xdr:to>
      <xdr:col>29</xdr:col>
      <xdr:colOff>28575</xdr:colOff>
      <xdr:row>24</xdr:row>
      <xdr:rowOff>95250</xdr:rowOff>
    </xdr:to>
    <xdr:sp macro="" textlink="">
      <xdr:nvSpPr>
        <xdr:cNvPr id="32" name="テキスト ボックス 27">
          <a:extLst>
            <a:ext uri="{FF2B5EF4-FFF2-40B4-BE49-F238E27FC236}">
              <a16:creationId xmlns:a16="http://schemas.microsoft.com/office/drawing/2014/main" id="{00000000-0008-0000-0600-000020000000}"/>
            </a:ext>
          </a:extLst>
        </xdr:cNvPr>
        <xdr:cNvSpPr txBox="1"/>
      </xdr:nvSpPr>
      <xdr:spPr>
        <a:xfrm>
          <a:off x="4907777" y="2860285"/>
          <a:ext cx="921523" cy="12545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デッキ④</a:t>
          </a:r>
          <a:endParaRPr kumimoji="1" lang="ja-JP" altLang="en-US" sz="800">
            <a:solidFill>
              <a:srgbClr val="0070C0"/>
            </a:solidFill>
          </a:endParaRPr>
        </a:p>
      </xdr:txBody>
    </xdr:sp>
    <xdr:clientData/>
  </xdr:twoCellAnchor>
  <xdr:twoCellAnchor>
    <xdr:from>
      <xdr:col>31</xdr:col>
      <xdr:colOff>164325</xdr:colOff>
      <xdr:row>17</xdr:row>
      <xdr:rowOff>88510</xdr:rowOff>
    </xdr:from>
    <xdr:to>
      <xdr:col>36</xdr:col>
      <xdr:colOff>85726</xdr:colOff>
      <xdr:row>24</xdr:row>
      <xdr:rowOff>85725</xdr:rowOff>
    </xdr:to>
    <xdr:sp macro="" textlink="">
      <xdr:nvSpPr>
        <xdr:cNvPr id="33" name="テキスト ボックス 27">
          <a:extLst>
            <a:ext uri="{FF2B5EF4-FFF2-40B4-BE49-F238E27FC236}">
              <a16:creationId xmlns:a16="http://schemas.microsoft.com/office/drawing/2014/main" id="{00000000-0008-0000-0600-000021000000}"/>
            </a:ext>
          </a:extLst>
        </xdr:cNvPr>
        <xdr:cNvSpPr txBox="1"/>
      </xdr:nvSpPr>
      <xdr:spPr>
        <a:xfrm>
          <a:off x="6365100" y="2850760"/>
          <a:ext cx="921526" cy="125451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デッキ⑤</a:t>
          </a:r>
          <a:endParaRPr lang="en-US" altLang="ja-JP" sz="800">
            <a:solidFill>
              <a:srgbClr val="0070C0"/>
            </a:solidFill>
          </a:endParaRPr>
        </a:p>
      </xdr:txBody>
    </xdr:sp>
    <xdr:clientData/>
  </xdr:twoCellAnchor>
  <xdr:twoCellAnchor>
    <xdr:from>
      <xdr:col>1</xdr:col>
      <xdr:colOff>123825</xdr:colOff>
      <xdr:row>15</xdr:row>
      <xdr:rowOff>152400</xdr:rowOff>
    </xdr:from>
    <xdr:to>
      <xdr:col>9</xdr:col>
      <xdr:colOff>186126</xdr:colOff>
      <xdr:row>17</xdr:row>
      <xdr:rowOff>47009</xdr:rowOff>
    </xdr:to>
    <xdr:sp macro="" textlink="">
      <xdr:nvSpPr>
        <xdr:cNvPr id="34" name="テキスト ボックス 27">
          <a:extLst>
            <a:ext uri="{FF2B5EF4-FFF2-40B4-BE49-F238E27FC236}">
              <a16:creationId xmlns:a16="http://schemas.microsoft.com/office/drawing/2014/main" id="{00000000-0008-0000-0600-000022000000}"/>
            </a:ext>
          </a:extLst>
        </xdr:cNvPr>
        <xdr:cNvSpPr txBox="1"/>
      </xdr:nvSpPr>
      <xdr:spPr>
        <a:xfrm>
          <a:off x="323850" y="257175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・新着デッキ</a:t>
          </a:r>
        </a:p>
      </xdr:txBody>
    </xdr:sp>
    <xdr:clientData/>
  </xdr:twoCellAnchor>
  <xdr:twoCellAnchor>
    <xdr:from>
      <xdr:col>1</xdr:col>
      <xdr:colOff>171450</xdr:colOff>
      <xdr:row>25</xdr:row>
      <xdr:rowOff>0</xdr:rowOff>
    </xdr:from>
    <xdr:to>
      <xdr:col>10</xdr:col>
      <xdr:colOff>33726</xdr:colOff>
      <xdr:row>26</xdr:row>
      <xdr:rowOff>66059</xdr:rowOff>
    </xdr:to>
    <xdr:sp macro="" textlink="">
      <xdr:nvSpPr>
        <xdr:cNvPr id="35" name="テキスト ボックス 27">
          <a:extLst>
            <a:ext uri="{FF2B5EF4-FFF2-40B4-BE49-F238E27FC236}">
              <a16:creationId xmlns:a16="http://schemas.microsoft.com/office/drawing/2014/main" id="{00000000-0008-0000-0600-000023000000}"/>
            </a:ext>
          </a:extLst>
        </xdr:cNvPr>
        <xdr:cNvSpPr txBox="1"/>
      </xdr:nvSpPr>
      <xdr:spPr>
        <a:xfrm>
          <a:off x="371475" y="4191000"/>
          <a:ext cx="1662501" cy="237509"/>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tx1">
                  <a:lumMod val="50000"/>
                  <a:lumOff val="50000"/>
                </a:schemeClr>
              </a:solidFill>
            </a:rPr>
            <a:t>・よく検索されるカード</a:t>
          </a:r>
          <a:endParaRPr kumimoji="1" lang="en-US" altLang="ja-JP" sz="800" b="1">
            <a:solidFill>
              <a:schemeClr val="tx1">
                <a:lumMod val="50000"/>
                <a:lumOff val="50000"/>
              </a:schemeClr>
            </a:solidFill>
          </a:endParaRPr>
        </a:p>
      </xdr:txBody>
    </xdr:sp>
    <xdr:clientData/>
  </xdr:twoCellAnchor>
  <xdr:twoCellAnchor>
    <xdr:from>
      <xdr:col>3</xdr:col>
      <xdr:colOff>66675</xdr:colOff>
      <xdr:row>26</xdr:row>
      <xdr:rowOff>114300</xdr:rowOff>
    </xdr:from>
    <xdr:to>
      <xdr:col>7</xdr:col>
      <xdr:colOff>188098</xdr:colOff>
      <xdr:row>33</xdr:row>
      <xdr:rowOff>111515</xdr:rowOff>
    </xdr:to>
    <xdr:sp macro="" textlink="">
      <xdr:nvSpPr>
        <xdr:cNvPr id="36" name="テキスト ボックス 27">
          <a:extLst>
            <a:ext uri="{FF2B5EF4-FFF2-40B4-BE49-F238E27FC236}">
              <a16:creationId xmlns:a16="http://schemas.microsoft.com/office/drawing/2014/main" id="{00000000-0008-0000-0600-000024000000}"/>
            </a:ext>
          </a:extLst>
        </xdr:cNvPr>
        <xdr:cNvSpPr txBox="1"/>
      </xdr:nvSpPr>
      <xdr:spPr>
        <a:xfrm>
          <a:off x="666750" y="4476750"/>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カード①</a:t>
          </a:r>
          <a:endParaRPr kumimoji="1" lang="ja-JP" altLang="en-US" sz="800">
            <a:solidFill>
              <a:srgbClr val="0070C0"/>
            </a:solidFill>
          </a:endParaRPr>
        </a:p>
      </xdr:txBody>
    </xdr:sp>
    <xdr:clientData/>
  </xdr:twoCellAnchor>
  <xdr:twoCellAnchor>
    <xdr:from>
      <xdr:col>17</xdr:col>
      <xdr:colOff>97400</xdr:colOff>
      <xdr:row>26</xdr:row>
      <xdr:rowOff>123622</xdr:rowOff>
    </xdr:from>
    <xdr:to>
      <xdr:col>22</xdr:col>
      <xdr:colOff>20502</xdr:colOff>
      <xdr:row>33</xdr:row>
      <xdr:rowOff>120837</xdr:rowOff>
    </xdr:to>
    <xdr:sp macro="" textlink="">
      <xdr:nvSpPr>
        <xdr:cNvPr id="37" name="テキスト ボックス 27">
          <a:extLst>
            <a:ext uri="{FF2B5EF4-FFF2-40B4-BE49-F238E27FC236}">
              <a16:creationId xmlns:a16="http://schemas.microsoft.com/office/drawing/2014/main" id="{00000000-0008-0000-0600-000025000000}"/>
            </a:ext>
          </a:extLst>
        </xdr:cNvPr>
        <xdr:cNvSpPr txBox="1"/>
      </xdr:nvSpPr>
      <xdr:spPr>
        <a:xfrm>
          <a:off x="3497825" y="4486072"/>
          <a:ext cx="923227"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カード③</a:t>
          </a:r>
          <a:endParaRPr kumimoji="1" lang="ja-JP" altLang="en-US" sz="800">
            <a:solidFill>
              <a:srgbClr val="0070C0"/>
            </a:solidFill>
          </a:endParaRPr>
        </a:p>
      </xdr:txBody>
    </xdr:sp>
    <xdr:clientData/>
  </xdr:twoCellAnchor>
  <xdr:twoCellAnchor>
    <xdr:from>
      <xdr:col>10</xdr:col>
      <xdr:colOff>58831</xdr:colOff>
      <xdr:row>26</xdr:row>
      <xdr:rowOff>123622</xdr:rowOff>
    </xdr:from>
    <xdr:to>
      <xdr:col>14</xdr:col>
      <xdr:colOff>181960</xdr:colOff>
      <xdr:row>33</xdr:row>
      <xdr:rowOff>120837</xdr:rowOff>
    </xdr:to>
    <xdr:sp macro="" textlink="">
      <xdr:nvSpPr>
        <xdr:cNvPr id="38" name="テキスト ボックス 27">
          <a:extLst>
            <a:ext uri="{FF2B5EF4-FFF2-40B4-BE49-F238E27FC236}">
              <a16:creationId xmlns:a16="http://schemas.microsoft.com/office/drawing/2014/main" id="{00000000-0008-0000-0600-000026000000}"/>
            </a:ext>
          </a:extLst>
        </xdr:cNvPr>
        <xdr:cNvSpPr txBox="1"/>
      </xdr:nvSpPr>
      <xdr:spPr>
        <a:xfrm>
          <a:off x="2059081" y="4486072"/>
          <a:ext cx="923229"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カード②</a:t>
          </a:r>
          <a:endParaRPr kumimoji="1" lang="ja-JP" altLang="en-US" sz="800">
            <a:solidFill>
              <a:srgbClr val="0070C0"/>
            </a:solidFill>
          </a:endParaRPr>
        </a:p>
      </xdr:txBody>
    </xdr:sp>
    <xdr:clientData/>
  </xdr:twoCellAnchor>
  <xdr:twoCellAnchor>
    <xdr:from>
      <xdr:col>24</xdr:col>
      <xdr:colOff>185058</xdr:colOff>
      <xdr:row>26</xdr:row>
      <xdr:rowOff>142672</xdr:rowOff>
    </xdr:from>
    <xdr:to>
      <xdr:col>29</xdr:col>
      <xdr:colOff>106456</xdr:colOff>
      <xdr:row>33</xdr:row>
      <xdr:rowOff>139887</xdr:rowOff>
    </xdr:to>
    <xdr:sp macro="" textlink="">
      <xdr:nvSpPr>
        <xdr:cNvPr id="39" name="テキスト ボックス 27">
          <a:extLst>
            <a:ext uri="{FF2B5EF4-FFF2-40B4-BE49-F238E27FC236}">
              <a16:creationId xmlns:a16="http://schemas.microsoft.com/office/drawing/2014/main" id="{00000000-0008-0000-0600-000027000000}"/>
            </a:ext>
          </a:extLst>
        </xdr:cNvPr>
        <xdr:cNvSpPr txBox="1"/>
      </xdr:nvSpPr>
      <xdr:spPr>
        <a:xfrm>
          <a:off x="4985658" y="4505122"/>
          <a:ext cx="921523"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カード④</a:t>
          </a:r>
          <a:endParaRPr kumimoji="1" lang="ja-JP" altLang="en-US" sz="800">
            <a:solidFill>
              <a:srgbClr val="0070C0"/>
            </a:solidFill>
          </a:endParaRPr>
        </a:p>
      </xdr:txBody>
    </xdr:sp>
    <xdr:clientData/>
  </xdr:twoCellAnchor>
  <xdr:twoCellAnchor>
    <xdr:from>
      <xdr:col>32</xdr:col>
      <xdr:colOff>42181</xdr:colOff>
      <xdr:row>26</xdr:row>
      <xdr:rowOff>133147</xdr:rowOff>
    </xdr:from>
    <xdr:to>
      <xdr:col>36</xdr:col>
      <xdr:colOff>163607</xdr:colOff>
      <xdr:row>33</xdr:row>
      <xdr:rowOff>130362</xdr:rowOff>
    </xdr:to>
    <xdr:sp macro="" textlink="">
      <xdr:nvSpPr>
        <xdr:cNvPr id="40" name="テキスト ボックス 39">
          <a:extLst>
            <a:ext uri="{FF2B5EF4-FFF2-40B4-BE49-F238E27FC236}">
              <a16:creationId xmlns:a16="http://schemas.microsoft.com/office/drawing/2014/main" id="{00000000-0008-0000-0600-000028000000}"/>
            </a:ext>
          </a:extLst>
        </xdr:cNvPr>
        <xdr:cNvSpPr txBox="1"/>
      </xdr:nvSpPr>
      <xdr:spPr>
        <a:xfrm>
          <a:off x="6442981" y="4495597"/>
          <a:ext cx="921526" cy="1197365"/>
        </a:xfrm>
        <a:prstGeom prst="rect">
          <a:avLst/>
        </a:prstGeom>
        <a:solidFill>
          <a:schemeClr val="accent1">
            <a:lumMod val="20000"/>
            <a:lumOff val="80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a:solidFill>
                <a:srgbClr val="0070C0"/>
              </a:solidFill>
            </a:rPr>
            <a:t>カード⑤</a:t>
          </a:r>
          <a:endParaRPr lang="en-US" altLang="ja-JP" sz="800">
            <a:solidFill>
              <a:srgbClr val="0070C0"/>
            </a:solidFill>
          </a:endParaRPr>
        </a:p>
      </xdr:txBody>
    </xdr:sp>
    <xdr:clientData/>
  </xdr:twoCellAnchor>
  <xdr:twoCellAnchor>
    <xdr:from>
      <xdr:col>1</xdr:col>
      <xdr:colOff>19050</xdr:colOff>
      <xdr:row>12</xdr:row>
      <xdr:rowOff>95249</xdr:rowOff>
    </xdr:from>
    <xdr:to>
      <xdr:col>52</xdr:col>
      <xdr:colOff>190500</xdr:colOff>
      <xdr:row>25</xdr:row>
      <xdr:rowOff>28574</xdr:rowOff>
    </xdr:to>
    <xdr:sp macro="" textlink="">
      <xdr:nvSpPr>
        <xdr:cNvPr id="41" name="角丸四角形 40">
          <a:extLst>
            <a:ext uri="{FF2B5EF4-FFF2-40B4-BE49-F238E27FC236}">
              <a16:creationId xmlns:a16="http://schemas.microsoft.com/office/drawing/2014/main" id="{00000000-0008-0000-0600-000029000000}"/>
            </a:ext>
          </a:extLst>
        </xdr:cNvPr>
        <xdr:cNvSpPr/>
      </xdr:nvSpPr>
      <xdr:spPr>
        <a:xfrm>
          <a:off x="219075" y="1981199"/>
          <a:ext cx="10372725" cy="2238375"/>
        </a:xfrm>
        <a:prstGeom prst="roundRect">
          <a:avLst>
            <a:gd name="adj" fmla="val 4743"/>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171450</xdr:colOff>
      <xdr:row>13</xdr:row>
      <xdr:rowOff>0</xdr:rowOff>
    </xdr:from>
    <xdr:to>
      <xdr:col>52</xdr:col>
      <xdr:colOff>9525</xdr:colOff>
      <xdr:row>14</xdr:row>
      <xdr:rowOff>28575</xdr:rowOff>
    </xdr:to>
    <xdr:sp macro="" textlink="">
      <xdr:nvSpPr>
        <xdr:cNvPr id="42" name="二等辺三角形 41">
          <a:extLst>
            <a:ext uri="{FF2B5EF4-FFF2-40B4-BE49-F238E27FC236}">
              <a16:creationId xmlns:a16="http://schemas.microsoft.com/office/drawing/2014/main" id="{00000000-0008-0000-0600-00002A000000}"/>
            </a:ext>
          </a:extLst>
        </xdr:cNvPr>
        <xdr:cNvSpPr/>
      </xdr:nvSpPr>
      <xdr:spPr>
        <a:xfrm rot="10800000">
          <a:off x="10172700" y="2076450"/>
          <a:ext cx="238125" cy="200025"/>
        </a:xfrm>
        <a:prstGeom prst="triangle">
          <a:avLst>
            <a:gd name="adj" fmla="val 46875"/>
          </a:avLst>
        </a:prstGeom>
        <a:solidFill>
          <a:schemeClr val="tx2">
            <a:lumMod val="5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0</xdr:col>
      <xdr:colOff>200024</xdr:colOff>
      <xdr:row>34</xdr:row>
      <xdr:rowOff>0</xdr:rowOff>
    </xdr:from>
    <xdr:to>
      <xdr:col>52</xdr:col>
      <xdr:colOff>190499</xdr:colOff>
      <xdr:row>41</xdr:row>
      <xdr:rowOff>0</xdr:rowOff>
    </xdr:to>
    <xdr:sp macro="" textlink="">
      <xdr:nvSpPr>
        <xdr:cNvPr id="43" name="テキスト ボックス 27">
          <a:extLst>
            <a:ext uri="{FF2B5EF4-FFF2-40B4-BE49-F238E27FC236}">
              <a16:creationId xmlns:a16="http://schemas.microsoft.com/office/drawing/2014/main" id="{00000000-0008-0000-0600-00002B000000}"/>
            </a:ext>
          </a:extLst>
        </xdr:cNvPr>
        <xdr:cNvSpPr txBox="1"/>
      </xdr:nvSpPr>
      <xdr:spPr>
        <a:xfrm>
          <a:off x="200024" y="5734050"/>
          <a:ext cx="10391775" cy="1200150"/>
        </a:xfrm>
        <a:prstGeom prst="rect">
          <a:avLst/>
        </a:prstGeom>
        <a:solidFill>
          <a:schemeClr val="accent1">
            <a:lumMod val="75000"/>
          </a:schemeClr>
        </a:solidFill>
        <a:ln>
          <a:solidFill>
            <a:srgbClr val="0070C0"/>
          </a:solidFill>
        </a:ln>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ltLang="ja-JP" sz="800">
            <a:solidFill>
              <a:srgbClr val="0070C0"/>
            </a:solidFill>
          </a:endParaRPr>
        </a:p>
      </xdr:txBody>
    </xdr:sp>
    <xdr:clientData/>
  </xdr:twoCellAnchor>
  <xdr:twoCellAnchor>
    <xdr:from>
      <xdr:col>1</xdr:col>
      <xdr:colOff>0</xdr:colOff>
      <xdr:row>9</xdr:row>
      <xdr:rowOff>0</xdr:rowOff>
    </xdr:from>
    <xdr:to>
      <xdr:col>53</xdr:col>
      <xdr:colOff>0</xdr:colOff>
      <xdr:row>12</xdr:row>
      <xdr:rowOff>44823</xdr:rowOff>
    </xdr:to>
    <xdr:sp macro="" textlink="">
      <xdr:nvSpPr>
        <xdr:cNvPr id="44" name="角丸四角形 43">
          <a:extLst>
            <a:ext uri="{FF2B5EF4-FFF2-40B4-BE49-F238E27FC236}">
              <a16:creationId xmlns:a16="http://schemas.microsoft.com/office/drawing/2014/main" id="{00000000-0008-0000-0600-00002C000000}"/>
            </a:ext>
          </a:extLst>
        </xdr:cNvPr>
        <xdr:cNvSpPr/>
      </xdr:nvSpPr>
      <xdr:spPr>
        <a:xfrm>
          <a:off x="200025" y="1371600"/>
          <a:ext cx="10401300" cy="559173"/>
        </a:xfrm>
        <a:prstGeom prst="roundRect">
          <a:avLst>
            <a:gd name="adj" fmla="val 4743"/>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130250</xdr:colOff>
      <xdr:row>9</xdr:row>
      <xdr:rowOff>97634</xdr:rowOff>
    </xdr:from>
    <xdr:to>
      <xdr:col>20</xdr:col>
      <xdr:colOff>102471</xdr:colOff>
      <xdr:row>11</xdr:row>
      <xdr:rowOff>153872</xdr:rowOff>
    </xdr:to>
    <xdr:sp macro="" textlink="">
      <xdr:nvSpPr>
        <xdr:cNvPr id="45" name="テキスト ボックス 19">
          <a:extLst>
            <a:ext uri="{FF2B5EF4-FFF2-40B4-BE49-F238E27FC236}">
              <a16:creationId xmlns:a16="http://schemas.microsoft.com/office/drawing/2014/main" id="{00000000-0008-0000-0600-00002D000000}"/>
            </a:ext>
            <a:ext uri="{147F2762-F138-4A5C-976F-8EAC2B608ADB}">
              <a16:predDERef xmlns:a16="http://schemas.microsoft.com/office/drawing/2014/main" pred="{0514E06D-31DA-4E0C-9871-C38B5600A2FC}"/>
            </a:ext>
          </a:extLst>
        </xdr:cNvPr>
        <xdr:cNvSpPr txBox="1"/>
      </xdr:nvSpPr>
      <xdr:spPr>
        <a:xfrm>
          <a:off x="330275" y="1469234"/>
          <a:ext cx="3772696" cy="399138"/>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b="1">
              <a:solidFill>
                <a:schemeClr val="accent1">
                  <a:lumMod val="75000"/>
                </a:schemeClr>
              </a:solidFill>
            </a:rPr>
            <a:t>ヴァイスシュバルツ　</a:t>
          </a:r>
          <a:r>
            <a:rPr kumimoji="1" lang="en-US" altLang="ja-JP" b="1">
              <a:solidFill>
                <a:schemeClr val="accent1">
                  <a:lumMod val="75000"/>
                </a:schemeClr>
              </a:solidFill>
            </a:rPr>
            <a:t>BSP</a:t>
          </a:r>
          <a:endParaRPr kumimoji="1" lang="ja-JP" altLang="en-US" b="1">
            <a:solidFill>
              <a:schemeClr val="accent1">
                <a:lumMod val="75000"/>
              </a:schemeClr>
            </a:solidFill>
          </a:endParaRPr>
        </a:p>
      </xdr:txBody>
    </xdr:sp>
    <xdr:clientData/>
  </xdr:twoCellAnchor>
  <xdr:twoCellAnchor>
    <xdr:from>
      <xdr:col>1</xdr:col>
      <xdr:colOff>147817</xdr:colOff>
      <xdr:row>35</xdr:row>
      <xdr:rowOff>46011</xdr:rowOff>
    </xdr:from>
    <xdr:to>
      <xdr:col>10</xdr:col>
      <xdr:colOff>106391</xdr:colOff>
      <xdr:row>39</xdr:row>
      <xdr:rowOff>100400</xdr:rowOff>
    </xdr:to>
    <xdr:grpSp>
      <xdr:nvGrpSpPr>
        <xdr:cNvPr id="46" name="グループ化 45">
          <a:extLst>
            <a:ext uri="{FF2B5EF4-FFF2-40B4-BE49-F238E27FC236}">
              <a16:creationId xmlns:a16="http://schemas.microsoft.com/office/drawing/2014/main" id="{00000000-0008-0000-0600-00002E000000}"/>
            </a:ext>
          </a:extLst>
        </xdr:cNvPr>
        <xdr:cNvGrpSpPr/>
      </xdr:nvGrpSpPr>
      <xdr:grpSpPr>
        <a:xfrm>
          <a:off x="318991" y="5888011"/>
          <a:ext cx="1499139" cy="716998"/>
          <a:chOff x="811766" y="6041157"/>
          <a:chExt cx="1772246" cy="726742"/>
        </a:xfrm>
      </xdr:grpSpPr>
      <xdr:grpSp>
        <xdr:nvGrpSpPr>
          <xdr:cNvPr id="47" name="グループ化 46">
            <a:extLst>
              <a:ext uri="{FF2B5EF4-FFF2-40B4-BE49-F238E27FC236}">
                <a16:creationId xmlns:a16="http://schemas.microsoft.com/office/drawing/2014/main" id="{00000000-0008-0000-0600-00002F000000}"/>
              </a:ext>
            </a:extLst>
          </xdr:cNvPr>
          <xdr:cNvGrpSpPr/>
        </xdr:nvGrpSpPr>
        <xdr:grpSpPr>
          <a:xfrm>
            <a:off x="828493" y="6041157"/>
            <a:ext cx="1755519" cy="474285"/>
            <a:chOff x="2887683" y="2170921"/>
            <a:chExt cx="1779851" cy="435984"/>
          </a:xfrm>
        </xdr:grpSpPr>
        <xdr:sp macro="" textlink="">
          <xdr:nvSpPr>
            <xdr:cNvPr id="49" name="テキスト ボックス 26">
              <a:extLst>
                <a:ext uri="{FF2B5EF4-FFF2-40B4-BE49-F238E27FC236}">
                  <a16:creationId xmlns:a16="http://schemas.microsoft.com/office/drawing/2014/main" id="{00000000-0008-0000-0600-000031000000}"/>
                </a:ext>
              </a:extLst>
            </xdr:cNvPr>
            <xdr:cNvSpPr txBox="1"/>
          </xdr:nvSpPr>
          <xdr:spPr>
            <a:xfrm>
              <a:off x="2887683" y="2170921"/>
              <a:ext cx="1779851"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会員登録はこちら</a:t>
              </a:r>
            </a:p>
          </xdr:txBody>
        </xdr:sp>
        <xdr:sp macro="" textlink="">
          <xdr:nvSpPr>
            <xdr:cNvPr id="50" name="テキスト ボックス 27">
              <a:extLst>
                <a:ext uri="{FF2B5EF4-FFF2-40B4-BE49-F238E27FC236}">
                  <a16:creationId xmlns:a16="http://schemas.microsoft.com/office/drawing/2014/main" id="{00000000-0008-0000-0600-000032000000}"/>
                </a:ext>
              </a:extLst>
            </xdr:cNvPr>
            <xdr:cNvSpPr txBox="1"/>
          </xdr:nvSpPr>
          <xdr:spPr>
            <a:xfrm>
              <a:off x="2887683" y="2391461"/>
              <a:ext cx="1709255" cy="215444"/>
            </a:xfrm>
            <a:prstGeom prst="rect">
              <a:avLst/>
            </a:prstGeom>
            <a:noFill/>
          </xdr:spPr>
          <xdr:txBody>
            <a:bodyPr wrap="square" rtlCol="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lang="ja-JP" altLang="en-US" sz="800" b="1">
                  <a:solidFill>
                    <a:schemeClr val="bg1"/>
                  </a:solidFill>
                </a:rPr>
                <a:t>ログイン</a:t>
              </a:r>
              <a:r>
                <a:rPr kumimoji="1" lang="ja-JP" altLang="en-US" sz="800" b="1">
                  <a:solidFill>
                    <a:schemeClr val="bg1"/>
                  </a:solidFill>
                </a:rPr>
                <a:t>はこちら</a:t>
              </a:r>
            </a:p>
          </xdr:txBody>
        </xdr:sp>
      </xdr:grpSp>
      <xdr:sp macro="" textlink="">
        <xdr:nvSpPr>
          <xdr:cNvPr id="48" name="テキスト ボックス 27">
            <a:extLst>
              <a:ext uri="{FF2B5EF4-FFF2-40B4-BE49-F238E27FC236}">
                <a16:creationId xmlns:a16="http://schemas.microsoft.com/office/drawing/2014/main" id="{00000000-0008-0000-0600-000030000000}"/>
              </a:ext>
            </a:extLst>
          </xdr:cNvPr>
          <xdr:cNvSpPr txBox="1"/>
        </xdr:nvSpPr>
        <xdr:spPr>
          <a:xfrm>
            <a:off x="811766" y="6534705"/>
            <a:ext cx="1675212" cy="23319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r>
              <a:rPr kumimoji="1" lang="ja-JP" altLang="en-US" sz="800" b="1">
                <a:solidFill>
                  <a:schemeClr val="bg1"/>
                </a:solidFill>
              </a:rPr>
              <a:t>すぐに対戦を始める</a:t>
            </a:r>
          </a:p>
        </xdr:txBody>
      </xdr:sp>
    </xdr:grpSp>
    <xdr:clientData/>
  </xdr:twoCellAnchor>
  <xdr:twoCellAnchor>
    <xdr:from>
      <xdr:col>43</xdr:col>
      <xdr:colOff>95250</xdr:colOff>
      <xdr:row>9</xdr:row>
      <xdr:rowOff>91330</xdr:rowOff>
    </xdr:from>
    <xdr:to>
      <xdr:col>52</xdr:col>
      <xdr:colOff>47065</xdr:colOff>
      <xdr:row>11</xdr:row>
      <xdr:rowOff>136152</xdr:rowOff>
    </xdr:to>
    <xdr:sp macro="" textlink="">
      <xdr:nvSpPr>
        <xdr:cNvPr id="51" name="角丸四角形 50">
          <a:extLst>
            <a:ext uri="{FF2B5EF4-FFF2-40B4-BE49-F238E27FC236}">
              <a16:creationId xmlns:a16="http://schemas.microsoft.com/office/drawing/2014/main" id="{00000000-0008-0000-0600-000033000000}"/>
            </a:ext>
          </a:extLst>
        </xdr:cNvPr>
        <xdr:cNvSpPr/>
      </xdr:nvSpPr>
      <xdr:spPr>
        <a:xfrm>
          <a:off x="8696325" y="1462930"/>
          <a:ext cx="1752040" cy="387722"/>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accent1">
                  <a:lumMod val="75000"/>
                </a:schemeClr>
              </a:solidFill>
            </a:rPr>
            <a:t>カードゲームしよ子</a:t>
          </a:r>
        </a:p>
      </xdr:txBody>
    </xdr:sp>
    <xdr:clientData/>
  </xdr:twoCellAnchor>
  <xdr:twoCellAnchor>
    <xdr:from>
      <xdr:col>50</xdr:col>
      <xdr:colOff>33058</xdr:colOff>
      <xdr:row>10</xdr:row>
      <xdr:rowOff>25773</xdr:rowOff>
    </xdr:from>
    <xdr:to>
      <xdr:col>51</xdr:col>
      <xdr:colOff>48035</xdr:colOff>
      <xdr:row>11</xdr:row>
      <xdr:rowOff>12325</xdr:rowOff>
    </xdr:to>
    <xdr:sp macro="" textlink="">
      <xdr:nvSpPr>
        <xdr:cNvPr id="52" name="Menu Button" descr="&lt;Tags&gt;&lt;SMARTRESIZEANCHORS&gt;Absolute,None,None,Absolute&lt;/SMARTRESIZEANCHORS&gt;&lt;/Tags&gt;">
          <a:extLst>
            <a:ext uri="{FF2B5EF4-FFF2-40B4-BE49-F238E27FC236}">
              <a16:creationId xmlns:a16="http://schemas.microsoft.com/office/drawing/2014/main" id="{00000000-0008-0000-0600-000034000000}"/>
            </a:ext>
          </a:extLst>
        </xdr:cNvPr>
        <xdr:cNvSpPr>
          <a:spLocks noChangeAspect="1" noEditPoints="1"/>
        </xdr:cNvSpPr>
      </xdr:nvSpPr>
      <xdr:spPr bwMode="auto">
        <a:xfrm>
          <a:off x="10034308" y="1568823"/>
          <a:ext cx="215002" cy="158002"/>
        </a:xfrm>
        <a:custGeom>
          <a:avLst/>
          <a:gdLst>
            <a:gd name="T0" fmla="*/ 0 w 415"/>
            <a:gd name="T1" fmla="*/ 309 h 309"/>
            <a:gd name="T2" fmla="*/ 415 w 415"/>
            <a:gd name="T3" fmla="*/ 309 h 309"/>
            <a:gd name="T4" fmla="*/ 0 w 415"/>
            <a:gd name="T5" fmla="*/ 155 h 309"/>
            <a:gd name="T6" fmla="*/ 415 w 415"/>
            <a:gd name="T7" fmla="*/ 155 h 309"/>
            <a:gd name="T8" fmla="*/ 0 w 415"/>
            <a:gd name="T9" fmla="*/ 0 h 309"/>
            <a:gd name="T10" fmla="*/ 415 w 415"/>
            <a:gd name="T11" fmla="*/ 0 h 309"/>
          </a:gdLst>
          <a:ahLst/>
          <a:cxnLst>
            <a:cxn ang="0">
              <a:pos x="T0" y="T1"/>
            </a:cxn>
            <a:cxn ang="0">
              <a:pos x="T2" y="T3"/>
            </a:cxn>
            <a:cxn ang="0">
              <a:pos x="T4" y="T5"/>
            </a:cxn>
            <a:cxn ang="0">
              <a:pos x="T6" y="T7"/>
            </a:cxn>
            <a:cxn ang="0">
              <a:pos x="T8" y="T9"/>
            </a:cxn>
            <a:cxn ang="0">
              <a:pos x="T10" y="T11"/>
            </a:cxn>
          </a:cxnLst>
          <a:rect l="0" t="0" r="r" b="b"/>
          <a:pathLst>
            <a:path w="415" h="309">
              <a:moveTo>
                <a:pt x="0" y="309"/>
              </a:moveTo>
              <a:lnTo>
                <a:pt x="415" y="309"/>
              </a:lnTo>
              <a:moveTo>
                <a:pt x="0" y="155"/>
              </a:moveTo>
              <a:lnTo>
                <a:pt x="415" y="155"/>
              </a:lnTo>
              <a:moveTo>
                <a:pt x="0" y="0"/>
              </a:moveTo>
              <a:lnTo>
                <a:pt x="415" y="0"/>
              </a:lnTo>
            </a:path>
          </a:pathLst>
        </a:custGeom>
        <a:noFill/>
        <a:ln w="6350" cap="flat">
          <a:solidFill>
            <a:srgbClr val="808080"/>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endParaRPr lang="en-US">
            <a:solidFill>
              <a:srgbClr val="5F5F5F"/>
            </a:solidFill>
            <a:latin typeface="Segoe UI" panose="020B0502040204020203" pitchFamily="34" charset="0"/>
            <a:cs typeface="Segoe UI" panose="020B0502040204020203" pitchFamily="34" charset="0"/>
          </a:endParaRPr>
        </a:p>
      </xdr:txBody>
    </xdr:sp>
    <xdr:clientData/>
  </xdr:twoCellAnchor>
  <xdr:twoCellAnchor>
    <xdr:from>
      <xdr:col>45</xdr:col>
      <xdr:colOff>190501</xdr:colOff>
      <xdr:row>12</xdr:row>
      <xdr:rowOff>161926</xdr:rowOff>
    </xdr:from>
    <xdr:to>
      <xdr:col>50</xdr:col>
      <xdr:colOff>57150</xdr:colOff>
      <xdr:row>14</xdr:row>
      <xdr:rowOff>47626</xdr:rowOff>
    </xdr:to>
    <xdr:sp macro="" textlink="">
      <xdr:nvSpPr>
        <xdr:cNvPr id="53" name="テキスト ボックス 52">
          <a:extLst>
            <a:ext uri="{FF2B5EF4-FFF2-40B4-BE49-F238E27FC236}">
              <a16:creationId xmlns:a16="http://schemas.microsoft.com/office/drawing/2014/main" id="{00000000-0008-0000-0600-000035000000}"/>
            </a:ext>
          </a:extLst>
        </xdr:cNvPr>
        <xdr:cNvSpPr txBox="1"/>
      </xdr:nvSpPr>
      <xdr:spPr>
        <a:xfrm>
          <a:off x="9191626" y="2047876"/>
          <a:ext cx="866774" cy="24765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kumimoji="1" lang="ja-JP" altLang="en-US" sz="1100"/>
            <a:t>カード検索</a:t>
          </a:r>
        </a:p>
      </xdr:txBody>
    </xdr:sp>
    <xdr:clientData/>
  </xdr:twoCellAnchor>
  <xdr:twoCellAnchor>
    <xdr:from>
      <xdr:col>1</xdr:col>
      <xdr:colOff>123825</xdr:colOff>
      <xdr:row>12</xdr:row>
      <xdr:rowOff>171449</xdr:rowOff>
    </xdr:from>
    <xdr:to>
      <xdr:col>23</xdr:col>
      <xdr:colOff>104775</xdr:colOff>
      <xdr:row>14</xdr:row>
      <xdr:rowOff>47624</xdr:rowOff>
    </xdr:to>
    <xdr:sp macro="" textlink="">
      <xdr:nvSpPr>
        <xdr:cNvPr id="54" name="テキスト ボックス 53">
          <a:extLst>
            <a:ext uri="{FF2B5EF4-FFF2-40B4-BE49-F238E27FC236}">
              <a16:creationId xmlns:a16="http://schemas.microsoft.com/office/drawing/2014/main" id="{00000000-0008-0000-0600-000036000000}"/>
            </a:ext>
          </a:extLst>
        </xdr:cNvPr>
        <xdr:cNvSpPr txBox="1"/>
      </xdr:nvSpPr>
      <xdr:spPr>
        <a:xfrm>
          <a:off x="323850" y="2057399"/>
          <a:ext cx="4381500" cy="23812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bg1">
                  <a:lumMod val="65000"/>
                </a:schemeClr>
              </a:solidFill>
            </a:rPr>
            <a:t>シャーロックホームズ</a:t>
          </a:r>
        </a:p>
      </xdr:txBody>
    </xdr:sp>
    <xdr:clientData/>
  </xdr:twoCellAnchor>
  <xdr:twoCellAnchor>
    <xdr:from>
      <xdr:col>24</xdr:col>
      <xdr:colOff>85725</xdr:colOff>
      <xdr:row>12</xdr:row>
      <xdr:rowOff>171450</xdr:rowOff>
    </xdr:from>
    <xdr:to>
      <xdr:col>45</xdr:col>
      <xdr:colOff>76200</xdr:colOff>
      <xdr:row>14</xdr:row>
      <xdr:rowOff>47625</xdr:rowOff>
    </xdr:to>
    <xdr:sp macro="" textlink="">
      <xdr:nvSpPr>
        <xdr:cNvPr id="55" name="テキスト ボックス 54">
          <a:extLst>
            <a:ext uri="{FF2B5EF4-FFF2-40B4-BE49-F238E27FC236}">
              <a16:creationId xmlns:a16="http://schemas.microsoft.com/office/drawing/2014/main" id="{00000000-0008-0000-0600-000037000000}"/>
            </a:ext>
          </a:extLst>
        </xdr:cNvPr>
        <xdr:cNvSpPr txBox="1"/>
      </xdr:nvSpPr>
      <xdr:spPr>
        <a:xfrm>
          <a:off x="4886325" y="2057400"/>
          <a:ext cx="4191000" cy="23812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検索対象：□名前　□特徴　□テキスト　□カード番号</a:t>
          </a:r>
        </a:p>
      </xdr:txBody>
    </xdr:sp>
    <xdr:clientData/>
  </xdr:twoCellAnchor>
  <xdr:twoCellAnchor>
    <xdr:from>
      <xdr:col>1</xdr:col>
      <xdr:colOff>171450</xdr:colOff>
      <xdr:row>16</xdr:row>
      <xdr:rowOff>133350</xdr:rowOff>
    </xdr:from>
    <xdr:to>
      <xdr:col>5</xdr:col>
      <xdr:colOff>114300</xdr:colOff>
      <xdr:row>17</xdr:row>
      <xdr:rowOff>199500</xdr:rowOff>
    </xdr:to>
    <xdr:sp macro="" textlink="">
      <xdr:nvSpPr>
        <xdr:cNvPr id="56" name="テキスト ボックス 55">
          <a:extLst>
            <a:ext uri="{FF2B5EF4-FFF2-40B4-BE49-F238E27FC236}">
              <a16:creationId xmlns:a16="http://schemas.microsoft.com/office/drawing/2014/main" id="{00000000-0008-0000-0600-000038000000}"/>
            </a:ext>
          </a:extLst>
        </xdr:cNvPr>
        <xdr:cNvSpPr txBox="1"/>
      </xdr:nvSpPr>
      <xdr:spPr>
        <a:xfrm>
          <a:off x="371475" y="2724150"/>
          <a:ext cx="742950" cy="20902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種類</a:t>
          </a:r>
        </a:p>
      </xdr:txBody>
    </xdr:sp>
    <xdr:clientData/>
  </xdr:twoCellAnchor>
  <xdr:twoCellAnchor>
    <xdr:from>
      <xdr:col>1</xdr:col>
      <xdr:colOff>171450</xdr:colOff>
      <xdr:row>18</xdr:row>
      <xdr:rowOff>104775</xdr:rowOff>
    </xdr:from>
    <xdr:to>
      <xdr:col>5</xdr:col>
      <xdr:colOff>114300</xdr:colOff>
      <xdr:row>19</xdr:row>
      <xdr:rowOff>113775</xdr:rowOff>
    </xdr:to>
    <xdr:sp macro="" textlink="">
      <xdr:nvSpPr>
        <xdr:cNvPr id="57" name="テキスト ボックス 56">
          <a:extLst>
            <a:ext uri="{FF2B5EF4-FFF2-40B4-BE49-F238E27FC236}">
              <a16:creationId xmlns:a16="http://schemas.microsoft.com/office/drawing/2014/main" id="{00000000-0008-0000-0600-000039000000}"/>
            </a:ext>
          </a:extLst>
        </xdr:cNvPr>
        <xdr:cNvSpPr txBox="1"/>
      </xdr:nvSpPr>
      <xdr:spPr>
        <a:xfrm>
          <a:off x="371475" y="3038475"/>
          <a:ext cx="742950" cy="23760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パワー</a:t>
          </a:r>
          <a:endParaRPr kumimoji="1" lang="en-US" altLang="ja-JP" sz="1100" u="none">
            <a:solidFill>
              <a:schemeClr val="accent1">
                <a:lumMod val="75000"/>
              </a:schemeClr>
            </a:solidFill>
          </a:endParaRPr>
        </a:p>
      </xdr:txBody>
    </xdr:sp>
    <xdr:clientData/>
  </xdr:twoCellAnchor>
  <xdr:twoCellAnchor>
    <xdr:from>
      <xdr:col>1</xdr:col>
      <xdr:colOff>171450</xdr:colOff>
      <xdr:row>20</xdr:row>
      <xdr:rowOff>66675</xdr:rowOff>
    </xdr:from>
    <xdr:to>
      <xdr:col>5</xdr:col>
      <xdr:colOff>114300</xdr:colOff>
      <xdr:row>21</xdr:row>
      <xdr:rowOff>132825</xdr:rowOff>
    </xdr:to>
    <xdr:sp macro="" textlink="">
      <xdr:nvSpPr>
        <xdr:cNvPr id="58" name="テキスト ボックス 57">
          <a:extLst>
            <a:ext uri="{FF2B5EF4-FFF2-40B4-BE49-F238E27FC236}">
              <a16:creationId xmlns:a16="http://schemas.microsoft.com/office/drawing/2014/main" id="{00000000-0008-0000-0600-00003A000000}"/>
            </a:ext>
          </a:extLst>
        </xdr:cNvPr>
        <xdr:cNvSpPr txBox="1"/>
      </xdr:nvSpPr>
      <xdr:spPr>
        <a:xfrm>
          <a:off x="371475" y="3400425"/>
          <a:ext cx="742950" cy="23760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ソウル</a:t>
          </a:r>
        </a:p>
      </xdr:txBody>
    </xdr:sp>
    <xdr:clientData/>
  </xdr:twoCellAnchor>
  <xdr:twoCellAnchor>
    <xdr:from>
      <xdr:col>1</xdr:col>
      <xdr:colOff>171450</xdr:colOff>
      <xdr:row>22</xdr:row>
      <xdr:rowOff>19050</xdr:rowOff>
    </xdr:from>
    <xdr:to>
      <xdr:col>5</xdr:col>
      <xdr:colOff>114300</xdr:colOff>
      <xdr:row>23</xdr:row>
      <xdr:rowOff>85200</xdr:rowOff>
    </xdr:to>
    <xdr:sp macro="" textlink="">
      <xdr:nvSpPr>
        <xdr:cNvPr id="59" name="テキスト ボックス 58">
          <a:extLst>
            <a:ext uri="{FF2B5EF4-FFF2-40B4-BE49-F238E27FC236}">
              <a16:creationId xmlns:a16="http://schemas.microsoft.com/office/drawing/2014/main" id="{00000000-0008-0000-0600-00003B000000}"/>
            </a:ext>
          </a:extLst>
        </xdr:cNvPr>
        <xdr:cNvSpPr txBox="1"/>
      </xdr:nvSpPr>
      <xdr:spPr>
        <a:xfrm>
          <a:off x="371475" y="3695700"/>
          <a:ext cx="742950" cy="23760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トリガー</a:t>
          </a:r>
        </a:p>
      </xdr:txBody>
    </xdr:sp>
    <xdr:clientData/>
  </xdr:twoCellAnchor>
  <xdr:twoCellAnchor>
    <xdr:from>
      <xdr:col>24</xdr:col>
      <xdr:colOff>95250</xdr:colOff>
      <xdr:row>16</xdr:row>
      <xdr:rowOff>123825</xdr:rowOff>
    </xdr:from>
    <xdr:to>
      <xdr:col>28</xdr:col>
      <xdr:colOff>38100</xdr:colOff>
      <xdr:row>17</xdr:row>
      <xdr:rowOff>189975</xdr:rowOff>
    </xdr:to>
    <xdr:sp macro="" textlink="">
      <xdr:nvSpPr>
        <xdr:cNvPr id="60" name="テキスト ボックス 59">
          <a:extLst>
            <a:ext uri="{FF2B5EF4-FFF2-40B4-BE49-F238E27FC236}">
              <a16:creationId xmlns:a16="http://schemas.microsoft.com/office/drawing/2014/main" id="{00000000-0008-0000-0600-00003C000000}"/>
            </a:ext>
          </a:extLst>
        </xdr:cNvPr>
        <xdr:cNvSpPr txBox="1"/>
      </xdr:nvSpPr>
      <xdr:spPr>
        <a:xfrm>
          <a:off x="4895850" y="2714625"/>
          <a:ext cx="742950" cy="21855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レベル</a:t>
          </a:r>
          <a:endParaRPr kumimoji="1" lang="en-US" altLang="ja-JP" sz="1100" u="none">
            <a:solidFill>
              <a:schemeClr val="accent1">
                <a:lumMod val="75000"/>
              </a:schemeClr>
            </a:solidFill>
          </a:endParaRPr>
        </a:p>
      </xdr:txBody>
    </xdr:sp>
    <xdr:clientData/>
  </xdr:twoCellAnchor>
  <xdr:twoCellAnchor>
    <xdr:from>
      <xdr:col>24</xdr:col>
      <xdr:colOff>95250</xdr:colOff>
      <xdr:row>18</xdr:row>
      <xdr:rowOff>85726</xdr:rowOff>
    </xdr:from>
    <xdr:to>
      <xdr:col>28</xdr:col>
      <xdr:colOff>38100</xdr:colOff>
      <xdr:row>19</xdr:row>
      <xdr:rowOff>94726</xdr:rowOff>
    </xdr:to>
    <xdr:sp macro="" textlink="">
      <xdr:nvSpPr>
        <xdr:cNvPr id="61" name="テキスト ボックス 60">
          <a:extLst>
            <a:ext uri="{FF2B5EF4-FFF2-40B4-BE49-F238E27FC236}">
              <a16:creationId xmlns:a16="http://schemas.microsoft.com/office/drawing/2014/main" id="{00000000-0008-0000-0600-00003D000000}"/>
            </a:ext>
          </a:extLst>
        </xdr:cNvPr>
        <xdr:cNvSpPr txBox="1"/>
      </xdr:nvSpPr>
      <xdr:spPr>
        <a:xfrm>
          <a:off x="4895850" y="3019426"/>
          <a:ext cx="742950" cy="23760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色</a:t>
          </a:r>
          <a:endParaRPr kumimoji="1" lang="en-US" altLang="ja-JP" sz="1100" u="none">
            <a:solidFill>
              <a:schemeClr val="accent1">
                <a:lumMod val="75000"/>
              </a:schemeClr>
            </a:solidFill>
          </a:endParaRPr>
        </a:p>
      </xdr:txBody>
    </xdr:sp>
    <xdr:clientData/>
  </xdr:twoCellAnchor>
  <xdr:twoCellAnchor>
    <xdr:from>
      <xdr:col>24</xdr:col>
      <xdr:colOff>104775</xdr:colOff>
      <xdr:row>20</xdr:row>
      <xdr:rowOff>38100</xdr:rowOff>
    </xdr:from>
    <xdr:to>
      <xdr:col>28</xdr:col>
      <xdr:colOff>47625</xdr:colOff>
      <xdr:row>21</xdr:row>
      <xdr:rowOff>104250</xdr:rowOff>
    </xdr:to>
    <xdr:sp macro="" textlink="">
      <xdr:nvSpPr>
        <xdr:cNvPr id="62" name="テキスト ボックス 61">
          <a:extLst>
            <a:ext uri="{FF2B5EF4-FFF2-40B4-BE49-F238E27FC236}">
              <a16:creationId xmlns:a16="http://schemas.microsoft.com/office/drawing/2014/main" id="{00000000-0008-0000-0600-00003E000000}"/>
            </a:ext>
          </a:extLst>
        </xdr:cNvPr>
        <xdr:cNvSpPr txBox="1"/>
      </xdr:nvSpPr>
      <xdr:spPr>
        <a:xfrm>
          <a:off x="4905375" y="3371850"/>
          <a:ext cx="742950" cy="237600"/>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コスト</a:t>
          </a:r>
          <a:endParaRPr kumimoji="1" lang="en-US" altLang="ja-JP" sz="1100" u="none">
            <a:solidFill>
              <a:schemeClr val="accent1">
                <a:lumMod val="75000"/>
              </a:schemeClr>
            </a:solidFill>
          </a:endParaRPr>
        </a:p>
      </xdr:txBody>
    </xdr:sp>
    <xdr:clientData/>
  </xdr:twoCellAnchor>
  <xdr:twoCellAnchor>
    <xdr:from>
      <xdr:col>1</xdr:col>
      <xdr:colOff>152400</xdr:colOff>
      <xdr:row>14</xdr:row>
      <xdr:rowOff>142875</xdr:rowOff>
    </xdr:from>
    <xdr:to>
      <xdr:col>9</xdr:col>
      <xdr:colOff>107950</xdr:colOff>
      <xdr:row>16</xdr:row>
      <xdr:rowOff>38100</xdr:rowOff>
    </xdr:to>
    <xdr:sp macro="" textlink="">
      <xdr:nvSpPr>
        <xdr:cNvPr id="63" name="テキスト ボックス 62">
          <a:extLst>
            <a:ext uri="{FF2B5EF4-FFF2-40B4-BE49-F238E27FC236}">
              <a16:creationId xmlns:a16="http://schemas.microsoft.com/office/drawing/2014/main" id="{00000000-0008-0000-0600-00003F000000}"/>
            </a:ext>
          </a:extLst>
        </xdr:cNvPr>
        <xdr:cNvSpPr txBox="1"/>
      </xdr:nvSpPr>
      <xdr:spPr>
        <a:xfrm>
          <a:off x="336550" y="2333625"/>
          <a:ext cx="1428750" cy="225425"/>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ネオスタンダード区分</a:t>
          </a:r>
          <a:endParaRPr kumimoji="1" lang="en-US" altLang="ja-JP" sz="1100" u="none">
            <a:solidFill>
              <a:schemeClr val="accent1">
                <a:lumMod val="75000"/>
              </a:schemeClr>
            </a:solidFill>
          </a:endParaRPr>
        </a:p>
      </xdr:txBody>
    </xdr:sp>
    <xdr:clientData/>
  </xdr:twoCellAnchor>
  <xdr:twoCellAnchor editAs="oneCell">
    <xdr:from>
      <xdr:col>10</xdr:col>
      <xdr:colOff>88900</xdr:colOff>
      <xdr:row>14</xdr:row>
      <xdr:rowOff>133350</xdr:rowOff>
    </xdr:from>
    <xdr:to>
      <xdr:col>27</xdr:col>
      <xdr:colOff>2764</xdr:colOff>
      <xdr:row>16</xdr:row>
      <xdr:rowOff>57116</xdr:rowOff>
    </xdr:to>
    <xdr:pic>
      <xdr:nvPicPr>
        <xdr:cNvPr id="64" name="図 63">
          <a:extLst>
            <a:ext uri="{FF2B5EF4-FFF2-40B4-BE49-F238E27FC236}">
              <a16:creationId xmlns:a16="http://schemas.microsoft.com/office/drawing/2014/main" id="{00000000-0008-0000-0600-000040000000}"/>
            </a:ext>
          </a:extLst>
        </xdr:cNvPr>
        <xdr:cNvPicPr>
          <a:picLocks noChangeAspect="1"/>
        </xdr:cNvPicPr>
      </xdr:nvPicPr>
      <xdr:blipFill>
        <a:blip xmlns:r="http://schemas.openxmlformats.org/officeDocument/2006/relationships" r:embed="rId1"/>
        <a:stretch>
          <a:fillRect/>
        </a:stretch>
      </xdr:blipFill>
      <xdr:spPr>
        <a:xfrm>
          <a:off x="1930400" y="2324100"/>
          <a:ext cx="3031714" cy="253967"/>
        </a:xfrm>
        <a:prstGeom prst="rect">
          <a:avLst/>
        </a:prstGeom>
      </xdr:spPr>
    </xdr:pic>
    <xdr:clientData/>
  </xdr:twoCellAnchor>
  <xdr:twoCellAnchor editAs="oneCell">
    <xdr:from>
      <xdr:col>28</xdr:col>
      <xdr:colOff>190500</xdr:colOff>
      <xdr:row>16</xdr:row>
      <xdr:rowOff>142875</xdr:rowOff>
    </xdr:from>
    <xdr:to>
      <xdr:col>35</xdr:col>
      <xdr:colOff>66515</xdr:colOff>
      <xdr:row>18</xdr:row>
      <xdr:rowOff>38070</xdr:rowOff>
    </xdr:to>
    <xdr:pic>
      <xdr:nvPicPr>
        <xdr:cNvPr id="65" name="図 64">
          <a:extLst>
            <a:ext uri="{FF2B5EF4-FFF2-40B4-BE49-F238E27FC236}">
              <a16:creationId xmlns:a16="http://schemas.microsoft.com/office/drawing/2014/main" id="{00000000-0008-0000-0600-000041000000}"/>
            </a:ext>
          </a:extLst>
        </xdr:cNvPr>
        <xdr:cNvPicPr>
          <a:picLocks noChangeAspect="1"/>
        </xdr:cNvPicPr>
      </xdr:nvPicPr>
      <xdr:blipFill>
        <a:blip xmlns:r="http://schemas.openxmlformats.org/officeDocument/2006/relationships" r:embed="rId2"/>
        <a:stretch>
          <a:fillRect/>
        </a:stretch>
      </xdr:blipFill>
      <xdr:spPr>
        <a:xfrm>
          <a:off x="5791200" y="2733675"/>
          <a:ext cx="1276190" cy="238095"/>
        </a:xfrm>
        <a:prstGeom prst="rect">
          <a:avLst/>
        </a:prstGeom>
      </xdr:spPr>
    </xdr:pic>
    <xdr:clientData/>
  </xdr:twoCellAnchor>
  <xdr:twoCellAnchor editAs="oneCell">
    <xdr:from>
      <xdr:col>29</xdr:col>
      <xdr:colOff>9525</xdr:colOff>
      <xdr:row>18</xdr:row>
      <xdr:rowOff>76200</xdr:rowOff>
    </xdr:from>
    <xdr:to>
      <xdr:col>35</xdr:col>
      <xdr:colOff>85565</xdr:colOff>
      <xdr:row>19</xdr:row>
      <xdr:rowOff>142845</xdr:rowOff>
    </xdr:to>
    <xdr:pic>
      <xdr:nvPicPr>
        <xdr:cNvPr id="66" name="図 65">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2"/>
        <a:stretch>
          <a:fillRect/>
        </a:stretch>
      </xdr:blipFill>
      <xdr:spPr>
        <a:xfrm>
          <a:off x="5810250" y="3009900"/>
          <a:ext cx="1276190" cy="238095"/>
        </a:xfrm>
        <a:prstGeom prst="rect">
          <a:avLst/>
        </a:prstGeom>
      </xdr:spPr>
    </xdr:pic>
    <xdr:clientData/>
  </xdr:twoCellAnchor>
  <xdr:twoCellAnchor editAs="oneCell">
    <xdr:from>
      <xdr:col>29</xdr:col>
      <xdr:colOff>9525</xdr:colOff>
      <xdr:row>20</xdr:row>
      <xdr:rowOff>28575</xdr:rowOff>
    </xdr:from>
    <xdr:to>
      <xdr:col>35</xdr:col>
      <xdr:colOff>85565</xdr:colOff>
      <xdr:row>21</xdr:row>
      <xdr:rowOff>95221</xdr:rowOff>
    </xdr:to>
    <xdr:pic>
      <xdr:nvPicPr>
        <xdr:cNvPr id="67" name="図 66">
          <a:extLst>
            <a:ext uri="{FF2B5EF4-FFF2-40B4-BE49-F238E27FC236}">
              <a16:creationId xmlns:a16="http://schemas.microsoft.com/office/drawing/2014/main" id="{00000000-0008-0000-0600-000043000000}"/>
            </a:ext>
          </a:extLst>
        </xdr:cNvPr>
        <xdr:cNvPicPr>
          <a:picLocks noChangeAspect="1"/>
        </xdr:cNvPicPr>
      </xdr:nvPicPr>
      <xdr:blipFill>
        <a:blip xmlns:r="http://schemas.openxmlformats.org/officeDocument/2006/relationships" r:embed="rId2"/>
        <a:stretch>
          <a:fillRect/>
        </a:stretch>
      </xdr:blipFill>
      <xdr:spPr>
        <a:xfrm>
          <a:off x="5810250" y="3362325"/>
          <a:ext cx="1276190" cy="238095"/>
        </a:xfrm>
        <a:prstGeom prst="rect">
          <a:avLst/>
        </a:prstGeom>
      </xdr:spPr>
    </xdr:pic>
    <xdr:clientData/>
  </xdr:twoCellAnchor>
  <xdr:twoCellAnchor editAs="oneCell">
    <xdr:from>
      <xdr:col>6</xdr:col>
      <xdr:colOff>76200</xdr:colOff>
      <xdr:row>16</xdr:row>
      <xdr:rowOff>152400</xdr:rowOff>
    </xdr:from>
    <xdr:to>
      <xdr:col>12</xdr:col>
      <xdr:colOff>152240</xdr:colOff>
      <xdr:row>18</xdr:row>
      <xdr:rowOff>47595</xdr:rowOff>
    </xdr:to>
    <xdr:pic>
      <xdr:nvPicPr>
        <xdr:cNvPr id="68" name="図 67">
          <a:extLst>
            <a:ext uri="{FF2B5EF4-FFF2-40B4-BE49-F238E27FC236}">
              <a16:creationId xmlns:a16="http://schemas.microsoft.com/office/drawing/2014/main" id="{00000000-0008-0000-0600-000044000000}"/>
            </a:ext>
          </a:extLst>
        </xdr:cNvPr>
        <xdr:cNvPicPr>
          <a:picLocks noChangeAspect="1"/>
        </xdr:cNvPicPr>
      </xdr:nvPicPr>
      <xdr:blipFill>
        <a:blip xmlns:r="http://schemas.openxmlformats.org/officeDocument/2006/relationships" r:embed="rId2"/>
        <a:stretch>
          <a:fillRect/>
        </a:stretch>
      </xdr:blipFill>
      <xdr:spPr>
        <a:xfrm>
          <a:off x="1276350" y="2743200"/>
          <a:ext cx="1276190" cy="238095"/>
        </a:xfrm>
        <a:prstGeom prst="rect">
          <a:avLst/>
        </a:prstGeom>
      </xdr:spPr>
    </xdr:pic>
    <xdr:clientData/>
  </xdr:twoCellAnchor>
  <xdr:twoCellAnchor editAs="oneCell">
    <xdr:from>
      <xdr:col>6</xdr:col>
      <xdr:colOff>85725</xdr:colOff>
      <xdr:row>18</xdr:row>
      <xdr:rowOff>104775</xdr:rowOff>
    </xdr:from>
    <xdr:to>
      <xdr:col>12</xdr:col>
      <xdr:colOff>161765</xdr:colOff>
      <xdr:row>20</xdr:row>
      <xdr:rowOff>3145</xdr:rowOff>
    </xdr:to>
    <xdr:pic>
      <xdr:nvPicPr>
        <xdr:cNvPr id="69" name="図 68">
          <a:extLst>
            <a:ext uri="{FF2B5EF4-FFF2-40B4-BE49-F238E27FC236}">
              <a16:creationId xmlns:a16="http://schemas.microsoft.com/office/drawing/2014/main" id="{00000000-0008-0000-0600-000045000000}"/>
            </a:ext>
          </a:extLst>
        </xdr:cNvPr>
        <xdr:cNvPicPr>
          <a:picLocks noChangeAspect="1"/>
        </xdr:cNvPicPr>
      </xdr:nvPicPr>
      <xdr:blipFill>
        <a:blip xmlns:r="http://schemas.openxmlformats.org/officeDocument/2006/relationships" r:embed="rId2"/>
        <a:stretch>
          <a:fillRect/>
        </a:stretch>
      </xdr:blipFill>
      <xdr:spPr>
        <a:xfrm>
          <a:off x="1285875" y="3038475"/>
          <a:ext cx="1276190" cy="238095"/>
        </a:xfrm>
        <a:prstGeom prst="rect">
          <a:avLst/>
        </a:prstGeom>
      </xdr:spPr>
    </xdr:pic>
    <xdr:clientData/>
  </xdr:twoCellAnchor>
  <xdr:twoCellAnchor editAs="oneCell">
    <xdr:from>
      <xdr:col>6</xdr:col>
      <xdr:colOff>85725</xdr:colOff>
      <xdr:row>20</xdr:row>
      <xdr:rowOff>85725</xdr:rowOff>
    </xdr:from>
    <xdr:to>
      <xdr:col>12</xdr:col>
      <xdr:colOff>161765</xdr:colOff>
      <xdr:row>21</xdr:row>
      <xdr:rowOff>152371</xdr:rowOff>
    </xdr:to>
    <xdr:pic>
      <xdr:nvPicPr>
        <xdr:cNvPr id="70" name="図 69">
          <a:extLst>
            <a:ext uri="{FF2B5EF4-FFF2-40B4-BE49-F238E27FC236}">
              <a16:creationId xmlns:a16="http://schemas.microsoft.com/office/drawing/2014/main" id="{00000000-0008-0000-0600-000046000000}"/>
            </a:ext>
          </a:extLst>
        </xdr:cNvPr>
        <xdr:cNvPicPr>
          <a:picLocks noChangeAspect="1"/>
        </xdr:cNvPicPr>
      </xdr:nvPicPr>
      <xdr:blipFill>
        <a:blip xmlns:r="http://schemas.openxmlformats.org/officeDocument/2006/relationships" r:embed="rId2"/>
        <a:stretch>
          <a:fillRect/>
        </a:stretch>
      </xdr:blipFill>
      <xdr:spPr>
        <a:xfrm>
          <a:off x="1285875" y="3419475"/>
          <a:ext cx="1276190" cy="238095"/>
        </a:xfrm>
        <a:prstGeom prst="rect">
          <a:avLst/>
        </a:prstGeom>
      </xdr:spPr>
    </xdr:pic>
    <xdr:clientData/>
  </xdr:twoCellAnchor>
  <xdr:twoCellAnchor editAs="oneCell">
    <xdr:from>
      <xdr:col>6</xdr:col>
      <xdr:colOff>114300</xdr:colOff>
      <xdr:row>22</xdr:row>
      <xdr:rowOff>9525</xdr:rowOff>
    </xdr:from>
    <xdr:to>
      <xdr:col>13</xdr:col>
      <xdr:colOff>3015</xdr:colOff>
      <xdr:row>23</xdr:row>
      <xdr:rowOff>76170</xdr:rowOff>
    </xdr:to>
    <xdr:pic>
      <xdr:nvPicPr>
        <xdr:cNvPr id="71" name="図 70">
          <a:extLst>
            <a:ext uri="{FF2B5EF4-FFF2-40B4-BE49-F238E27FC236}">
              <a16:creationId xmlns:a16="http://schemas.microsoft.com/office/drawing/2014/main" id="{00000000-0008-0000-0600-000047000000}"/>
            </a:ext>
          </a:extLst>
        </xdr:cNvPr>
        <xdr:cNvPicPr>
          <a:picLocks noChangeAspect="1"/>
        </xdr:cNvPicPr>
      </xdr:nvPicPr>
      <xdr:blipFill>
        <a:blip xmlns:r="http://schemas.openxmlformats.org/officeDocument/2006/relationships" r:embed="rId2"/>
        <a:stretch>
          <a:fillRect/>
        </a:stretch>
      </xdr:blipFill>
      <xdr:spPr>
        <a:xfrm>
          <a:off x="1314450" y="3686175"/>
          <a:ext cx="1276190" cy="238095"/>
        </a:xfrm>
        <a:prstGeom prst="rect">
          <a:avLst/>
        </a:prstGeom>
      </xdr:spPr>
    </xdr:pic>
    <xdr:clientData/>
  </xdr:twoCellAnchor>
  <xdr:twoCellAnchor>
    <xdr:from>
      <xdr:col>13</xdr:col>
      <xdr:colOff>38100</xdr:colOff>
      <xdr:row>18</xdr:row>
      <xdr:rowOff>114300</xdr:rowOff>
    </xdr:from>
    <xdr:to>
      <xdr:col>16</xdr:col>
      <xdr:colOff>180975</xdr:colOff>
      <xdr:row>19</xdr:row>
      <xdr:rowOff>123300</xdr:rowOff>
    </xdr:to>
    <xdr:sp macro="" textlink="">
      <xdr:nvSpPr>
        <xdr:cNvPr id="72" name="テキスト ボックス 71">
          <a:extLst>
            <a:ext uri="{FF2B5EF4-FFF2-40B4-BE49-F238E27FC236}">
              <a16:creationId xmlns:a16="http://schemas.microsoft.com/office/drawing/2014/main" id="{00000000-0008-0000-0600-000048000000}"/>
            </a:ext>
          </a:extLst>
        </xdr:cNvPr>
        <xdr:cNvSpPr txBox="1"/>
      </xdr:nvSpPr>
      <xdr:spPr>
        <a:xfrm>
          <a:off x="2638425" y="3048000"/>
          <a:ext cx="742950" cy="237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72000" tIns="0" rIns="0" bIns="0" rtlCol="0" anchor="ctr"/>
        <a:lstStyle/>
        <a:p>
          <a:pPr algn="l"/>
          <a:r>
            <a:rPr kumimoji="1" lang="ja-JP" altLang="en-US" sz="1100" u="none">
              <a:solidFill>
                <a:schemeClr val="accent1">
                  <a:lumMod val="75000"/>
                </a:schemeClr>
              </a:solidFill>
            </a:rPr>
            <a:t>～</a:t>
          </a:r>
          <a:endParaRPr kumimoji="1" lang="en-US" altLang="ja-JP" sz="1100" u="none">
            <a:solidFill>
              <a:schemeClr val="accent1">
                <a:lumMod val="75000"/>
              </a:schemeClr>
            </a:solidFill>
          </a:endParaRPr>
        </a:p>
      </xdr:txBody>
    </xdr:sp>
    <xdr:clientData/>
  </xdr:twoCellAnchor>
  <xdr:twoCellAnchor editAs="oneCell">
    <xdr:from>
      <xdr:col>14</xdr:col>
      <xdr:colOff>123825</xdr:colOff>
      <xdr:row>18</xdr:row>
      <xdr:rowOff>114300</xdr:rowOff>
    </xdr:from>
    <xdr:to>
      <xdr:col>21</xdr:col>
      <xdr:colOff>3015</xdr:colOff>
      <xdr:row>20</xdr:row>
      <xdr:rowOff>9495</xdr:rowOff>
    </xdr:to>
    <xdr:pic>
      <xdr:nvPicPr>
        <xdr:cNvPr id="73" name="図 72">
          <a:extLst>
            <a:ext uri="{FF2B5EF4-FFF2-40B4-BE49-F238E27FC236}">
              <a16:creationId xmlns:a16="http://schemas.microsoft.com/office/drawing/2014/main" id="{00000000-0008-0000-0600-000049000000}"/>
            </a:ext>
          </a:extLst>
        </xdr:cNvPr>
        <xdr:cNvPicPr>
          <a:picLocks noChangeAspect="1"/>
        </xdr:cNvPicPr>
      </xdr:nvPicPr>
      <xdr:blipFill>
        <a:blip xmlns:r="http://schemas.openxmlformats.org/officeDocument/2006/relationships" r:embed="rId2"/>
        <a:stretch>
          <a:fillRect/>
        </a:stretch>
      </xdr:blipFill>
      <xdr:spPr>
        <a:xfrm>
          <a:off x="2924175" y="3048000"/>
          <a:ext cx="1276190" cy="238095"/>
        </a:xfrm>
        <a:prstGeom prst="rect">
          <a:avLst/>
        </a:prstGeom>
      </xdr:spPr>
    </xdr:pic>
    <xdr:clientData/>
  </xdr:twoCellAnchor>
  <xdr:twoCellAnchor>
    <xdr:from>
      <xdr:col>1</xdr:col>
      <xdr:colOff>12010</xdr:colOff>
      <xdr:row>24</xdr:row>
      <xdr:rowOff>67918</xdr:rowOff>
    </xdr:from>
    <xdr:to>
      <xdr:col>52</xdr:col>
      <xdr:colOff>183460</xdr:colOff>
      <xdr:row>33</xdr:row>
      <xdr:rowOff>157371</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02510" y="4258918"/>
          <a:ext cx="9886950" cy="1654866"/>
        </a:xfrm>
        <a:prstGeom prst="rect">
          <a:avLst/>
        </a:prstGeom>
        <a:ln/>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28575</xdr:colOff>
      <xdr:row>7</xdr:row>
      <xdr:rowOff>57150</xdr:rowOff>
    </xdr:from>
    <xdr:to>
      <xdr:col>48</xdr:col>
      <xdr:colOff>171450</xdr:colOff>
      <xdr:row>40</xdr:row>
      <xdr:rowOff>57150</xdr:rowOff>
    </xdr:to>
    <xdr:sp macro="" textlink="">
      <xdr:nvSpPr>
        <xdr:cNvPr id="2" name="正方形/長方形 1">
          <a:extLst>
            <a:ext uri="{FF2B5EF4-FFF2-40B4-BE49-F238E27FC236}">
              <a16:creationId xmlns:a16="http://schemas.microsoft.com/office/drawing/2014/main" id="{00000000-0008-0000-0B00-000002000000}"/>
            </a:ext>
          </a:extLst>
        </xdr:cNvPr>
        <xdr:cNvSpPr/>
      </xdr:nvSpPr>
      <xdr:spPr>
        <a:xfrm>
          <a:off x="219075" y="1257300"/>
          <a:ext cx="9096375" cy="56578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設計中</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xdr:colOff>
      <xdr:row>10</xdr:row>
      <xdr:rowOff>161925</xdr:rowOff>
    </xdr:from>
    <xdr:to>
      <xdr:col>49</xdr:col>
      <xdr:colOff>180975</xdr:colOff>
      <xdr:row>43</xdr:row>
      <xdr:rowOff>161925</xdr:rowOff>
    </xdr:to>
    <xdr:sp macro="" textlink="">
      <xdr:nvSpPr>
        <xdr:cNvPr id="2" name="正方形/長方形 1">
          <a:extLst>
            <a:ext uri="{FF2B5EF4-FFF2-40B4-BE49-F238E27FC236}">
              <a16:creationId xmlns:a16="http://schemas.microsoft.com/office/drawing/2014/main" id="{00000000-0008-0000-0C00-000002000000}"/>
            </a:ext>
          </a:extLst>
        </xdr:cNvPr>
        <xdr:cNvSpPr/>
      </xdr:nvSpPr>
      <xdr:spPr>
        <a:xfrm>
          <a:off x="419100" y="1876425"/>
          <a:ext cx="9096375" cy="56578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設計中</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F14"/>
  <sheetViews>
    <sheetView showGridLines="0" view="pageBreakPreview" zoomScale="145" zoomScaleNormal="100" zoomScaleSheetLayoutView="145" workbookViewId="0"/>
  </sheetViews>
  <sheetFormatPr defaultColWidth="2.453125" defaultRowHeight="13" x14ac:dyDescent="0.2"/>
  <cols>
    <col min="1" max="30" width="2.453125" style="1"/>
    <col min="31" max="31" width="2.453125" style="1" bestFit="1" customWidth="1"/>
    <col min="32" max="16384" width="2.453125" style="1"/>
  </cols>
  <sheetData>
    <row r="3" spans="2:32" x14ac:dyDescent="0.2">
      <c r="B3" s="1" t="s">
        <v>0</v>
      </c>
    </row>
    <row r="5" spans="2:32" ht="13.5" customHeight="1" x14ac:dyDescent="0.2">
      <c r="B5" s="111" t="s">
        <v>1</v>
      </c>
      <c r="C5" s="111"/>
      <c r="D5" s="111"/>
      <c r="E5" s="111"/>
      <c r="F5" s="111"/>
      <c r="G5" s="111"/>
      <c r="H5" s="116" t="s">
        <v>305</v>
      </c>
      <c r="I5" s="117"/>
      <c r="J5" s="117"/>
      <c r="K5" s="117"/>
      <c r="L5" s="117"/>
      <c r="M5" s="111" t="s">
        <v>2</v>
      </c>
      <c r="N5" s="111"/>
      <c r="O5" s="111"/>
      <c r="P5" s="111"/>
      <c r="Q5" s="111"/>
      <c r="R5" s="111"/>
      <c r="S5" s="111"/>
      <c r="T5" s="116" t="s">
        <v>3</v>
      </c>
      <c r="U5" s="117"/>
      <c r="V5" s="117"/>
      <c r="W5" s="117"/>
      <c r="X5" s="117"/>
      <c r="Y5" s="117"/>
      <c r="Z5" s="117"/>
      <c r="AA5" s="117"/>
      <c r="AB5" s="117"/>
      <c r="AC5" s="117"/>
      <c r="AD5" s="117"/>
      <c r="AE5" s="117"/>
      <c r="AF5" s="118"/>
    </row>
    <row r="6" spans="2:32" ht="13.5" customHeight="1" x14ac:dyDescent="0.2">
      <c r="B6" s="111" t="s">
        <v>4</v>
      </c>
      <c r="C6" s="111"/>
      <c r="D6" s="111"/>
      <c r="E6" s="111"/>
      <c r="F6" s="111"/>
      <c r="G6" s="111"/>
      <c r="H6" s="116" t="s">
        <v>5</v>
      </c>
      <c r="I6" s="117"/>
      <c r="J6" s="117"/>
      <c r="K6" s="117"/>
      <c r="L6" s="117"/>
      <c r="M6" s="111" t="s">
        <v>6</v>
      </c>
      <c r="N6" s="111"/>
      <c r="O6" s="111"/>
      <c r="P6" s="111"/>
      <c r="Q6" s="111"/>
      <c r="R6" s="111"/>
      <c r="S6" s="111"/>
      <c r="T6" s="116" t="s">
        <v>7</v>
      </c>
      <c r="U6" s="117"/>
      <c r="V6" s="117"/>
      <c r="W6" s="117"/>
      <c r="X6" s="117"/>
      <c r="Y6" s="117"/>
      <c r="Z6" s="117"/>
      <c r="AA6" s="117"/>
      <c r="AB6" s="117"/>
      <c r="AC6" s="117"/>
      <c r="AD6" s="117"/>
      <c r="AE6" s="117"/>
      <c r="AF6" s="118"/>
    </row>
    <row r="7" spans="2:32" ht="13.5" customHeight="1" x14ac:dyDescent="0.2">
      <c r="B7" s="111" t="s">
        <v>8</v>
      </c>
      <c r="C7" s="111"/>
      <c r="D7" s="111"/>
      <c r="E7" s="111"/>
      <c r="F7" s="111"/>
      <c r="G7" s="111"/>
      <c r="H7" s="116" t="s">
        <v>307</v>
      </c>
      <c r="I7" s="117"/>
      <c r="J7" s="117"/>
      <c r="K7" s="117"/>
      <c r="L7" s="117"/>
      <c r="M7" s="111" t="s">
        <v>9</v>
      </c>
      <c r="N7" s="111"/>
      <c r="O7" s="111"/>
      <c r="P7" s="111"/>
      <c r="Q7" s="111"/>
      <c r="R7" s="111"/>
      <c r="S7" s="111"/>
      <c r="T7" s="116" t="s">
        <v>10</v>
      </c>
      <c r="U7" s="117"/>
      <c r="V7" s="117"/>
      <c r="W7" s="117"/>
      <c r="X7" s="117"/>
      <c r="Y7" s="117"/>
      <c r="Z7" s="117"/>
      <c r="AA7" s="117"/>
      <c r="AB7" s="117"/>
      <c r="AC7" s="117"/>
      <c r="AD7" s="117"/>
      <c r="AE7" s="117"/>
      <c r="AF7" s="118"/>
    </row>
    <row r="9" spans="2:32" x14ac:dyDescent="0.2">
      <c r="E9" s="26"/>
    </row>
    <row r="10" spans="2:32" x14ac:dyDescent="0.2">
      <c r="B10" s="111" t="s">
        <v>11</v>
      </c>
      <c r="C10" s="111"/>
      <c r="D10" s="111"/>
      <c r="E10" s="111"/>
      <c r="F10" s="111"/>
      <c r="G10" s="111"/>
      <c r="H10" s="111"/>
      <c r="I10" s="111"/>
      <c r="J10" s="111"/>
      <c r="K10" s="111"/>
      <c r="L10" s="111"/>
      <c r="M10" s="111"/>
      <c r="N10" s="112" t="str">
        <f>改訂履歴!AS9</f>
        <v>須賀</v>
      </c>
      <c r="O10" s="112"/>
      <c r="P10" s="112"/>
      <c r="Q10" s="112"/>
      <c r="R10" s="112"/>
      <c r="S10" s="112"/>
      <c r="T10" s="112"/>
      <c r="U10" s="112"/>
      <c r="V10" s="112"/>
      <c r="W10" s="112"/>
      <c r="X10" s="112"/>
      <c r="Y10" s="112"/>
      <c r="Z10" s="112"/>
      <c r="AA10" s="112"/>
      <c r="AB10" s="112"/>
      <c r="AC10" s="112"/>
      <c r="AD10" s="112"/>
      <c r="AE10" s="112"/>
      <c r="AF10" s="112"/>
    </row>
    <row r="11" spans="2:32" x14ac:dyDescent="0.2">
      <c r="B11" s="111" t="s">
        <v>12</v>
      </c>
      <c r="C11" s="111"/>
      <c r="D11" s="111"/>
      <c r="E11" s="111"/>
      <c r="F11" s="111"/>
      <c r="G11" s="111"/>
      <c r="H11" s="111"/>
      <c r="I11" s="111"/>
      <c r="J11" s="111"/>
      <c r="K11" s="111"/>
      <c r="L11" s="111"/>
      <c r="M11" s="111"/>
      <c r="N11" s="113">
        <f>改訂履歴!E9</f>
        <v>44471</v>
      </c>
      <c r="O11" s="112"/>
      <c r="P11" s="112"/>
      <c r="Q11" s="112"/>
      <c r="R11" s="112"/>
      <c r="S11" s="112"/>
      <c r="T11" s="112"/>
      <c r="U11" s="112"/>
      <c r="V11" s="112"/>
      <c r="W11" s="112"/>
      <c r="X11" s="112"/>
      <c r="Y11" s="112"/>
      <c r="Z11" s="112"/>
      <c r="AA11" s="112"/>
      <c r="AB11" s="112"/>
      <c r="AC11" s="112"/>
      <c r="AD11" s="112"/>
      <c r="AE11" s="112"/>
      <c r="AF11" s="112"/>
    </row>
    <row r="12" spans="2:32" x14ac:dyDescent="0.2">
      <c r="B12" s="111" t="s">
        <v>13</v>
      </c>
      <c r="C12" s="111"/>
      <c r="D12" s="111"/>
      <c r="E12" s="111"/>
      <c r="F12" s="111"/>
      <c r="G12" s="111"/>
      <c r="H12" s="111"/>
      <c r="I12" s="111"/>
      <c r="J12" s="111"/>
      <c r="K12" s="111"/>
      <c r="L12" s="111"/>
      <c r="M12" s="111"/>
      <c r="N12" s="112" t="str">
        <f>VLOOKUP(表紙!N14,改訂履歴!B:AS,44,FALSE)</f>
        <v>須賀</v>
      </c>
      <c r="O12" s="112"/>
      <c r="P12" s="112"/>
      <c r="Q12" s="112"/>
      <c r="R12" s="112"/>
      <c r="S12" s="112"/>
      <c r="T12" s="112"/>
      <c r="U12" s="112"/>
      <c r="V12" s="112"/>
      <c r="W12" s="112"/>
      <c r="X12" s="112"/>
      <c r="Y12" s="112"/>
      <c r="Z12" s="112"/>
      <c r="AA12" s="112"/>
      <c r="AB12" s="112"/>
      <c r="AC12" s="112"/>
      <c r="AD12" s="112"/>
      <c r="AE12" s="112"/>
      <c r="AF12" s="112"/>
    </row>
    <row r="13" spans="2:32" x14ac:dyDescent="0.2">
      <c r="B13" s="111" t="s">
        <v>14</v>
      </c>
      <c r="C13" s="111"/>
      <c r="D13" s="111"/>
      <c r="E13" s="111"/>
      <c r="F13" s="111"/>
      <c r="G13" s="111"/>
      <c r="H13" s="111"/>
      <c r="I13" s="111"/>
      <c r="J13" s="111"/>
      <c r="K13" s="111"/>
      <c r="L13" s="111"/>
      <c r="M13" s="111"/>
      <c r="N13" s="113">
        <f>VLOOKUP(表紙!N14,改訂履歴!B:E,4,FALSE)</f>
        <v>44471</v>
      </c>
      <c r="O13" s="113"/>
      <c r="P13" s="113"/>
      <c r="Q13" s="113"/>
      <c r="R13" s="113"/>
      <c r="S13" s="113"/>
      <c r="T13" s="113"/>
      <c r="U13" s="113"/>
      <c r="V13" s="113"/>
      <c r="W13" s="113"/>
      <c r="X13" s="113"/>
      <c r="Y13" s="113"/>
      <c r="Z13" s="113"/>
      <c r="AA13" s="113"/>
      <c r="AB13" s="113"/>
      <c r="AC13" s="113"/>
      <c r="AD13" s="113"/>
      <c r="AE13" s="113"/>
      <c r="AF13" s="113"/>
    </row>
    <row r="14" spans="2:32" x14ac:dyDescent="0.2">
      <c r="B14" s="111" t="s">
        <v>15</v>
      </c>
      <c r="C14" s="111"/>
      <c r="D14" s="111"/>
      <c r="E14" s="111"/>
      <c r="F14" s="111"/>
      <c r="G14" s="111"/>
      <c r="H14" s="111"/>
      <c r="I14" s="111"/>
      <c r="J14" s="111"/>
      <c r="K14" s="111"/>
      <c r="L14" s="111"/>
      <c r="M14" s="111"/>
      <c r="N14" s="114">
        <f>MAX(改訂履歴!B:B)</f>
        <v>1</v>
      </c>
      <c r="O14" s="115"/>
      <c r="P14" s="115"/>
      <c r="Q14" s="115"/>
      <c r="R14" s="115"/>
      <c r="S14" s="115"/>
      <c r="T14" s="115"/>
      <c r="U14" s="115"/>
      <c r="V14" s="115"/>
      <c r="W14" s="115"/>
      <c r="X14" s="115"/>
      <c r="Y14" s="115"/>
      <c r="Z14" s="115"/>
      <c r="AA14" s="115"/>
      <c r="AB14" s="115"/>
      <c r="AC14" s="115"/>
      <c r="AD14" s="115"/>
      <c r="AE14" s="115"/>
      <c r="AF14" s="115"/>
    </row>
  </sheetData>
  <mergeCells count="22">
    <mergeCell ref="B13:M13"/>
    <mergeCell ref="N13:AF13"/>
    <mergeCell ref="B14:M14"/>
    <mergeCell ref="N14:AF14"/>
    <mergeCell ref="M5:S5"/>
    <mergeCell ref="M6:S6"/>
    <mergeCell ref="T5:AF5"/>
    <mergeCell ref="T6:AF6"/>
    <mergeCell ref="M7:S7"/>
    <mergeCell ref="T7:AF7"/>
    <mergeCell ref="B5:G5"/>
    <mergeCell ref="H5:L5"/>
    <mergeCell ref="B6:G6"/>
    <mergeCell ref="H6:L6"/>
    <mergeCell ref="B7:G7"/>
    <mergeCell ref="H7:L7"/>
    <mergeCell ref="B10:M10"/>
    <mergeCell ref="N10:AF10"/>
    <mergeCell ref="B11:M11"/>
    <mergeCell ref="N11:AF11"/>
    <mergeCell ref="B12:M12"/>
    <mergeCell ref="N12:AF12"/>
  </mergeCells>
  <phoneticPr fontId="3"/>
  <pageMargins left="0.39370078740157483" right="0.39370078740157483" top="0.59055118110236227" bottom="0.59055118110236227" header="0.31496062992125984" footer="0.31496062992125984"/>
  <pageSetup paperSize="9" orientation="landscape" r:id="rId1"/>
  <headerFooter>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42"/>
  <sheetViews>
    <sheetView showGridLines="0" view="pageBreakPreview" zoomScaleNormal="100" zoomScaleSheetLayoutView="100" workbookViewId="0">
      <selection activeCell="AJ3" sqref="AJ3:AL3"/>
    </sheetView>
  </sheetViews>
  <sheetFormatPr defaultColWidth="2.453125" defaultRowHeight="13" x14ac:dyDescent="0.2"/>
  <cols>
    <col min="1" max="1" width="2.453125" style="7"/>
    <col min="2" max="5" width="2.453125" style="7" customWidth="1"/>
    <col min="6" max="16384" width="2.453125" style="7"/>
  </cols>
  <sheetData>
    <row r="1" spans="1:54" x14ac:dyDescent="0.2">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row>
    <row r="2" spans="1:54" x14ac:dyDescent="0.2">
      <c r="A2" s="1"/>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G2" s="1"/>
      <c r="AH2" s="1"/>
      <c r="AI2" s="1"/>
      <c r="AJ2" s="1"/>
      <c r="AK2" s="1"/>
      <c r="AL2" s="1"/>
      <c r="AM2" s="1"/>
      <c r="AN2" s="1"/>
      <c r="AO2" s="1"/>
      <c r="AP2" s="1"/>
      <c r="AQ2" s="1"/>
      <c r="AR2" s="1"/>
      <c r="AS2" s="128" t="s">
        <v>15</v>
      </c>
      <c r="AT2" s="129"/>
      <c r="AU2" s="130"/>
      <c r="AV2" s="134">
        <f>表紙!N14</f>
        <v>1</v>
      </c>
      <c r="AW2" s="135"/>
      <c r="AX2" s="135"/>
      <c r="AY2" s="135"/>
      <c r="AZ2" s="135"/>
      <c r="BA2" s="136"/>
      <c r="BB2" s="1"/>
    </row>
    <row r="3" spans="1:54" x14ac:dyDescent="0.2">
      <c r="A3" s="1"/>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G3" s="1"/>
      <c r="AH3" s="1"/>
      <c r="AI3" s="1"/>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c r="BB3" s="1"/>
    </row>
    <row r="4" spans="1:54" x14ac:dyDescent="0.2">
      <c r="A4" s="1"/>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G4" s="1"/>
      <c r="AH4" s="1"/>
      <c r="AI4" s="1"/>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c r="BB4" s="1"/>
    </row>
    <row r="5" spans="1:54"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3"/>
      <c r="AI5" s="13"/>
      <c r="AJ5" s="13"/>
      <c r="AK5" s="13"/>
      <c r="AL5" s="13"/>
      <c r="AM5" s="13"/>
      <c r="AN5" s="13"/>
      <c r="AO5" s="13"/>
      <c r="AP5" s="13"/>
      <c r="AQ5" s="13"/>
      <c r="AR5" s="13"/>
      <c r="AS5" s="13"/>
      <c r="AT5" s="13"/>
      <c r="AU5" s="13"/>
      <c r="AV5" s="1"/>
      <c r="AW5" s="1"/>
      <c r="AX5" s="1"/>
      <c r="AY5" s="1"/>
      <c r="AZ5" s="1"/>
      <c r="BA5" s="1"/>
      <c r="BB5" s="1"/>
    </row>
    <row r="6" spans="1:54" ht="14" x14ac:dyDescent="0.2">
      <c r="B6" s="14" t="s">
        <v>16</v>
      </c>
      <c r="C6" s="8"/>
      <c r="D6" s="8"/>
      <c r="E6" s="8"/>
      <c r="F6" s="8"/>
    </row>
    <row r="7" spans="1:54" ht="13.5" customHeight="1" x14ac:dyDescent="0.2">
      <c r="A7" s="8"/>
      <c r="C7" s="14"/>
      <c r="D7" s="14"/>
      <c r="E7" s="14"/>
      <c r="F7" s="8"/>
    </row>
    <row r="8" spans="1:54" x14ac:dyDescent="0.2">
      <c r="A8" s="8"/>
      <c r="B8" s="125" t="s">
        <v>17</v>
      </c>
      <c r="C8" s="125"/>
      <c r="D8" s="125"/>
      <c r="E8" s="125" t="s">
        <v>18</v>
      </c>
      <c r="F8" s="125"/>
      <c r="G8" s="125"/>
      <c r="H8" s="125"/>
      <c r="I8" s="125" t="s">
        <v>19</v>
      </c>
      <c r="J8" s="125"/>
      <c r="K8" s="125"/>
      <c r="L8" s="125"/>
      <c r="M8" s="125"/>
      <c r="N8" s="125"/>
      <c r="O8" s="125"/>
      <c r="P8" s="126" t="s">
        <v>20</v>
      </c>
      <c r="Q8" s="126"/>
      <c r="R8" s="126"/>
      <c r="S8" s="126"/>
      <c r="T8" s="126"/>
      <c r="U8" s="126"/>
      <c r="V8" s="126"/>
      <c r="W8" s="126"/>
      <c r="X8" s="126"/>
      <c r="Y8" s="126"/>
      <c r="Z8" s="126"/>
      <c r="AA8" s="126"/>
      <c r="AB8" s="126"/>
      <c r="AC8" s="126"/>
      <c r="AD8" s="126"/>
      <c r="AE8" s="126"/>
      <c r="AF8" s="126"/>
      <c r="AG8" s="126"/>
      <c r="AH8" s="126"/>
      <c r="AI8" s="126"/>
      <c r="AJ8" s="126"/>
      <c r="AK8" s="126"/>
      <c r="AL8" s="126"/>
      <c r="AM8" s="126"/>
      <c r="AN8" s="126"/>
      <c r="AO8" s="126"/>
      <c r="AP8" s="126"/>
      <c r="AQ8" s="126"/>
      <c r="AR8" s="126"/>
      <c r="AS8" s="125" t="s">
        <v>21</v>
      </c>
      <c r="AT8" s="125"/>
      <c r="AU8" s="125"/>
      <c r="AV8" s="125"/>
    </row>
    <row r="9" spans="1:54" x14ac:dyDescent="0.2">
      <c r="A9" s="8"/>
      <c r="B9" s="122">
        <v>1</v>
      </c>
      <c r="C9" s="122"/>
      <c r="D9" s="122"/>
      <c r="E9" s="127">
        <v>44471</v>
      </c>
      <c r="F9" s="123"/>
      <c r="G9" s="123"/>
      <c r="H9" s="123"/>
      <c r="I9" s="123" t="s">
        <v>22</v>
      </c>
      <c r="J9" s="123"/>
      <c r="K9" s="123"/>
      <c r="L9" s="123"/>
      <c r="M9" s="123"/>
      <c r="N9" s="123"/>
      <c r="O9" s="123"/>
      <c r="P9" s="124" t="s">
        <v>23</v>
      </c>
      <c r="Q9" s="124"/>
      <c r="R9" s="124"/>
      <c r="S9" s="124"/>
      <c r="T9" s="124"/>
      <c r="U9" s="124"/>
      <c r="V9" s="124"/>
      <c r="W9" s="124"/>
      <c r="X9" s="124"/>
      <c r="Y9" s="124"/>
      <c r="Z9" s="124"/>
      <c r="AA9" s="124"/>
      <c r="AB9" s="124"/>
      <c r="AC9" s="124"/>
      <c r="AD9" s="124"/>
      <c r="AE9" s="124"/>
      <c r="AF9" s="124"/>
      <c r="AG9" s="124"/>
      <c r="AH9" s="124"/>
      <c r="AI9" s="124"/>
      <c r="AJ9" s="124"/>
      <c r="AK9" s="124"/>
      <c r="AL9" s="124"/>
      <c r="AM9" s="124"/>
      <c r="AN9" s="124"/>
      <c r="AO9" s="124"/>
      <c r="AP9" s="124"/>
      <c r="AQ9" s="124"/>
      <c r="AR9" s="124"/>
      <c r="AS9" s="123" t="s">
        <v>24</v>
      </c>
      <c r="AT9" s="123"/>
      <c r="AU9" s="123"/>
      <c r="AV9" s="123"/>
    </row>
    <row r="10" spans="1:54" x14ac:dyDescent="0.2">
      <c r="A10" s="8"/>
      <c r="B10" s="122"/>
      <c r="C10" s="122"/>
      <c r="D10" s="122"/>
      <c r="E10" s="123"/>
      <c r="F10" s="123"/>
      <c r="G10" s="123"/>
      <c r="H10" s="123"/>
      <c r="I10" s="123"/>
      <c r="J10" s="123"/>
      <c r="K10" s="123"/>
      <c r="L10" s="123"/>
      <c r="M10" s="123"/>
      <c r="N10" s="123"/>
      <c r="O10" s="123"/>
      <c r="P10" s="124"/>
      <c r="Q10" s="124"/>
      <c r="R10" s="124"/>
      <c r="S10" s="124"/>
      <c r="T10" s="124"/>
      <c r="U10" s="124"/>
      <c r="V10" s="124"/>
      <c r="W10" s="124"/>
      <c r="X10" s="124"/>
      <c r="Y10" s="124"/>
      <c r="Z10" s="124"/>
      <c r="AA10" s="124"/>
      <c r="AB10" s="124"/>
      <c r="AC10" s="124"/>
      <c r="AD10" s="124"/>
      <c r="AE10" s="124"/>
      <c r="AF10" s="124"/>
      <c r="AG10" s="124"/>
      <c r="AH10" s="124"/>
      <c r="AI10" s="124"/>
      <c r="AJ10" s="124"/>
      <c r="AK10" s="124"/>
      <c r="AL10" s="124"/>
      <c r="AM10" s="124"/>
      <c r="AN10" s="124"/>
      <c r="AO10" s="124"/>
      <c r="AP10" s="124"/>
      <c r="AQ10" s="124"/>
      <c r="AR10" s="124"/>
      <c r="AS10" s="123"/>
      <c r="AT10" s="123"/>
      <c r="AU10" s="123"/>
      <c r="AV10" s="123"/>
    </row>
    <row r="11" spans="1:54" x14ac:dyDescent="0.2">
      <c r="A11" s="8"/>
      <c r="B11" s="122"/>
      <c r="C11" s="122"/>
      <c r="D11" s="122"/>
      <c r="E11" s="123"/>
      <c r="F11" s="123"/>
      <c r="G11" s="123"/>
      <c r="H11" s="123"/>
      <c r="I11" s="123"/>
      <c r="J11" s="123"/>
      <c r="K11" s="123"/>
      <c r="L11" s="123"/>
      <c r="M11" s="123"/>
      <c r="N11" s="123"/>
      <c r="O11" s="123"/>
      <c r="P11" s="124"/>
      <c r="Q11" s="124"/>
      <c r="R11" s="124"/>
      <c r="S11" s="124"/>
      <c r="T11" s="124"/>
      <c r="U11" s="124"/>
      <c r="V11" s="124"/>
      <c r="W11" s="124"/>
      <c r="X11" s="124"/>
      <c r="Y11" s="124"/>
      <c r="Z11" s="124"/>
      <c r="AA11" s="124"/>
      <c r="AB11" s="124"/>
      <c r="AC11" s="124"/>
      <c r="AD11" s="124"/>
      <c r="AE11" s="124"/>
      <c r="AF11" s="124"/>
      <c r="AG11" s="124"/>
      <c r="AH11" s="124"/>
      <c r="AI11" s="124"/>
      <c r="AJ11" s="124"/>
      <c r="AK11" s="124"/>
      <c r="AL11" s="124"/>
      <c r="AM11" s="124"/>
      <c r="AN11" s="124"/>
      <c r="AO11" s="124"/>
      <c r="AP11" s="124"/>
      <c r="AQ11" s="124"/>
      <c r="AR11" s="124"/>
      <c r="AS11" s="123"/>
      <c r="AT11" s="123"/>
      <c r="AU11" s="123"/>
      <c r="AV11" s="123"/>
    </row>
    <row r="12" spans="1:54" x14ac:dyDescent="0.2">
      <c r="A12" s="8"/>
      <c r="B12" s="122"/>
      <c r="C12" s="122"/>
      <c r="D12" s="122"/>
      <c r="E12" s="123"/>
      <c r="F12" s="123"/>
      <c r="G12" s="123"/>
      <c r="H12" s="123"/>
      <c r="I12" s="123"/>
      <c r="J12" s="123"/>
      <c r="K12" s="123"/>
      <c r="L12" s="123"/>
      <c r="M12" s="123"/>
      <c r="N12" s="123"/>
      <c r="O12" s="123"/>
      <c r="P12" s="124"/>
      <c r="Q12" s="124"/>
      <c r="R12" s="124"/>
      <c r="S12" s="124"/>
      <c r="T12" s="124"/>
      <c r="U12" s="124"/>
      <c r="V12" s="124"/>
      <c r="W12" s="124"/>
      <c r="X12" s="124"/>
      <c r="Y12" s="124"/>
      <c r="Z12" s="124"/>
      <c r="AA12" s="124"/>
      <c r="AB12" s="124"/>
      <c r="AC12" s="124"/>
      <c r="AD12" s="124"/>
      <c r="AE12" s="124"/>
      <c r="AF12" s="124"/>
      <c r="AG12" s="124"/>
      <c r="AH12" s="124"/>
      <c r="AI12" s="124"/>
      <c r="AJ12" s="124"/>
      <c r="AK12" s="124"/>
      <c r="AL12" s="124"/>
      <c r="AM12" s="124"/>
      <c r="AN12" s="124"/>
      <c r="AO12" s="124"/>
      <c r="AP12" s="124"/>
      <c r="AQ12" s="124"/>
      <c r="AR12" s="124"/>
      <c r="AS12" s="123"/>
      <c r="AT12" s="123"/>
      <c r="AU12" s="123"/>
      <c r="AV12" s="123"/>
    </row>
    <row r="13" spans="1:54" x14ac:dyDescent="0.2">
      <c r="A13" s="8"/>
      <c r="B13" s="122"/>
      <c r="C13" s="122"/>
      <c r="D13" s="122"/>
      <c r="E13" s="123"/>
      <c r="F13" s="123"/>
      <c r="G13" s="123"/>
      <c r="H13" s="123"/>
      <c r="I13" s="123"/>
      <c r="J13" s="123"/>
      <c r="K13" s="123"/>
      <c r="L13" s="123"/>
      <c r="M13" s="123"/>
      <c r="N13" s="123"/>
      <c r="O13" s="123"/>
      <c r="P13" s="124"/>
      <c r="Q13" s="124"/>
      <c r="R13" s="124"/>
      <c r="S13" s="124"/>
      <c r="T13" s="124"/>
      <c r="U13" s="124"/>
      <c r="V13" s="124"/>
      <c r="W13" s="124"/>
      <c r="X13" s="124"/>
      <c r="Y13" s="124"/>
      <c r="Z13" s="124"/>
      <c r="AA13" s="124"/>
      <c r="AB13" s="124"/>
      <c r="AC13" s="124"/>
      <c r="AD13" s="124"/>
      <c r="AE13" s="124"/>
      <c r="AF13" s="124"/>
      <c r="AG13" s="124"/>
      <c r="AH13" s="124"/>
      <c r="AI13" s="124"/>
      <c r="AJ13" s="124"/>
      <c r="AK13" s="124"/>
      <c r="AL13" s="124"/>
      <c r="AM13" s="124"/>
      <c r="AN13" s="124"/>
      <c r="AO13" s="124"/>
      <c r="AP13" s="124"/>
      <c r="AQ13" s="124"/>
      <c r="AR13" s="124"/>
      <c r="AS13" s="123"/>
      <c r="AT13" s="123"/>
      <c r="AU13" s="123"/>
      <c r="AV13" s="123"/>
    </row>
    <row r="14" spans="1:54" x14ac:dyDescent="0.2">
      <c r="A14" s="8"/>
      <c r="B14" s="122"/>
      <c r="C14" s="122"/>
      <c r="D14" s="122"/>
      <c r="E14" s="123"/>
      <c r="F14" s="123"/>
      <c r="G14" s="123"/>
      <c r="H14" s="123"/>
      <c r="I14" s="123"/>
      <c r="J14" s="123"/>
      <c r="K14" s="123"/>
      <c r="L14" s="123"/>
      <c r="M14" s="123"/>
      <c r="N14" s="123"/>
      <c r="O14" s="123"/>
      <c r="P14" s="124"/>
      <c r="Q14" s="124"/>
      <c r="R14" s="124"/>
      <c r="S14" s="124"/>
      <c r="T14" s="124"/>
      <c r="U14" s="124"/>
      <c r="V14" s="124"/>
      <c r="W14" s="124"/>
      <c r="X14" s="124"/>
      <c r="Y14" s="124"/>
      <c r="Z14" s="124"/>
      <c r="AA14" s="124"/>
      <c r="AB14" s="124"/>
      <c r="AC14" s="124"/>
      <c r="AD14" s="124"/>
      <c r="AE14" s="124"/>
      <c r="AF14" s="124"/>
      <c r="AG14" s="124"/>
      <c r="AH14" s="124"/>
      <c r="AI14" s="124"/>
      <c r="AJ14" s="124"/>
      <c r="AK14" s="124"/>
      <c r="AL14" s="124"/>
      <c r="AM14" s="124"/>
      <c r="AN14" s="124"/>
      <c r="AO14" s="124"/>
      <c r="AP14" s="124"/>
      <c r="AQ14" s="124"/>
      <c r="AR14" s="124"/>
      <c r="AS14" s="123"/>
      <c r="AT14" s="123"/>
      <c r="AU14" s="123"/>
      <c r="AV14" s="123"/>
    </row>
    <row r="15" spans="1:54" x14ac:dyDescent="0.2">
      <c r="A15" s="8"/>
      <c r="B15" s="122"/>
      <c r="C15" s="122"/>
      <c r="D15" s="122"/>
      <c r="E15" s="123"/>
      <c r="F15" s="123"/>
      <c r="G15" s="123"/>
      <c r="H15" s="123"/>
      <c r="I15" s="123"/>
      <c r="J15" s="123"/>
      <c r="K15" s="123"/>
      <c r="L15" s="123"/>
      <c r="M15" s="123"/>
      <c r="N15" s="123"/>
      <c r="O15" s="123"/>
      <c r="P15" s="124"/>
      <c r="Q15" s="124"/>
      <c r="R15" s="124"/>
      <c r="S15" s="124"/>
      <c r="T15" s="124"/>
      <c r="U15" s="124"/>
      <c r="V15" s="124"/>
      <c r="W15" s="124"/>
      <c r="X15" s="124"/>
      <c r="Y15" s="124"/>
      <c r="Z15" s="124"/>
      <c r="AA15" s="124"/>
      <c r="AB15" s="124"/>
      <c r="AC15" s="124"/>
      <c r="AD15" s="124"/>
      <c r="AE15" s="124"/>
      <c r="AF15" s="124"/>
      <c r="AG15" s="124"/>
      <c r="AH15" s="124"/>
      <c r="AI15" s="124"/>
      <c r="AJ15" s="124"/>
      <c r="AK15" s="124"/>
      <c r="AL15" s="124"/>
      <c r="AM15" s="124"/>
      <c r="AN15" s="124"/>
      <c r="AO15" s="124"/>
      <c r="AP15" s="124"/>
      <c r="AQ15" s="124"/>
      <c r="AR15" s="124"/>
      <c r="AS15" s="123"/>
      <c r="AT15" s="123"/>
      <c r="AU15" s="123"/>
      <c r="AV15" s="123"/>
    </row>
    <row r="16" spans="1:54" x14ac:dyDescent="0.2">
      <c r="A16" s="8"/>
      <c r="B16" s="122"/>
      <c r="C16" s="122"/>
      <c r="D16" s="122"/>
      <c r="E16" s="123"/>
      <c r="F16" s="123"/>
      <c r="G16" s="123"/>
      <c r="H16" s="123"/>
      <c r="I16" s="123"/>
      <c r="J16" s="123"/>
      <c r="K16" s="123"/>
      <c r="L16" s="123"/>
      <c r="M16" s="123"/>
      <c r="N16" s="123"/>
      <c r="O16" s="123"/>
      <c r="P16" s="124"/>
      <c r="Q16" s="124"/>
      <c r="R16" s="124"/>
      <c r="S16" s="124"/>
      <c r="T16" s="124"/>
      <c r="U16" s="124"/>
      <c r="V16" s="124"/>
      <c r="W16" s="124"/>
      <c r="X16" s="124"/>
      <c r="Y16" s="124"/>
      <c r="Z16" s="124"/>
      <c r="AA16" s="124"/>
      <c r="AB16" s="124"/>
      <c r="AC16" s="124"/>
      <c r="AD16" s="124"/>
      <c r="AE16" s="124"/>
      <c r="AF16" s="124"/>
      <c r="AG16" s="124"/>
      <c r="AH16" s="124"/>
      <c r="AI16" s="124"/>
      <c r="AJ16" s="124"/>
      <c r="AK16" s="124"/>
      <c r="AL16" s="124"/>
      <c r="AM16" s="124"/>
      <c r="AN16" s="124"/>
      <c r="AO16" s="124"/>
      <c r="AP16" s="124"/>
      <c r="AQ16" s="124"/>
      <c r="AR16" s="124"/>
      <c r="AS16" s="123"/>
      <c r="AT16" s="123"/>
      <c r="AU16" s="123"/>
      <c r="AV16" s="123"/>
    </row>
    <row r="17" spans="1:48" x14ac:dyDescent="0.2">
      <c r="A17" s="8"/>
      <c r="B17" s="122"/>
      <c r="C17" s="122"/>
      <c r="D17" s="122"/>
      <c r="E17" s="123"/>
      <c r="F17" s="123"/>
      <c r="G17" s="123"/>
      <c r="H17" s="123"/>
      <c r="I17" s="123"/>
      <c r="J17" s="123"/>
      <c r="K17" s="123"/>
      <c r="L17" s="123"/>
      <c r="M17" s="123"/>
      <c r="N17" s="123"/>
      <c r="O17" s="123"/>
      <c r="P17" s="124"/>
      <c r="Q17" s="124"/>
      <c r="R17" s="124"/>
      <c r="S17" s="124"/>
      <c r="T17" s="124"/>
      <c r="U17" s="124"/>
      <c r="V17" s="124"/>
      <c r="W17" s="124"/>
      <c r="X17" s="124"/>
      <c r="Y17" s="124"/>
      <c r="Z17" s="124"/>
      <c r="AA17" s="124"/>
      <c r="AB17" s="124"/>
      <c r="AC17" s="124"/>
      <c r="AD17" s="124"/>
      <c r="AE17" s="124"/>
      <c r="AF17" s="124"/>
      <c r="AG17" s="124"/>
      <c r="AH17" s="124"/>
      <c r="AI17" s="124"/>
      <c r="AJ17" s="124"/>
      <c r="AK17" s="124"/>
      <c r="AL17" s="124"/>
      <c r="AM17" s="124"/>
      <c r="AN17" s="124"/>
      <c r="AO17" s="124"/>
      <c r="AP17" s="124"/>
      <c r="AQ17" s="124"/>
      <c r="AR17" s="124"/>
      <c r="AS17" s="123"/>
      <c r="AT17" s="123"/>
      <c r="AU17" s="123"/>
      <c r="AV17" s="123"/>
    </row>
    <row r="18" spans="1:48" x14ac:dyDescent="0.2">
      <c r="A18" s="8"/>
      <c r="B18" s="122"/>
      <c r="C18" s="122"/>
      <c r="D18" s="122"/>
      <c r="E18" s="123"/>
      <c r="F18" s="123"/>
      <c r="G18" s="123"/>
      <c r="H18" s="123"/>
      <c r="I18" s="123"/>
      <c r="J18" s="123"/>
      <c r="K18" s="123"/>
      <c r="L18" s="123"/>
      <c r="M18" s="123"/>
      <c r="N18" s="123"/>
      <c r="O18" s="123"/>
      <c r="P18" s="124"/>
      <c r="Q18" s="124"/>
      <c r="R18" s="124"/>
      <c r="S18" s="124"/>
      <c r="T18" s="124"/>
      <c r="U18" s="124"/>
      <c r="V18" s="124"/>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3"/>
      <c r="AT18" s="123"/>
      <c r="AU18" s="123"/>
      <c r="AV18" s="123"/>
    </row>
    <row r="19" spans="1:48" x14ac:dyDescent="0.2">
      <c r="A19" s="8"/>
      <c r="B19" s="122"/>
      <c r="C19" s="122"/>
      <c r="D19" s="122"/>
      <c r="E19" s="123"/>
      <c r="F19" s="123"/>
      <c r="G19" s="123"/>
      <c r="H19" s="123"/>
      <c r="I19" s="123"/>
      <c r="J19" s="123"/>
      <c r="K19" s="123"/>
      <c r="L19" s="123"/>
      <c r="M19" s="123"/>
      <c r="N19" s="123"/>
      <c r="O19" s="123"/>
      <c r="P19" s="124"/>
      <c r="Q19" s="124"/>
      <c r="R19" s="124"/>
      <c r="S19" s="124"/>
      <c r="T19" s="124"/>
      <c r="U19" s="124"/>
      <c r="V19" s="124"/>
      <c r="W19" s="124"/>
      <c r="X19" s="124"/>
      <c r="Y19" s="124"/>
      <c r="Z19" s="124"/>
      <c r="AA19" s="124"/>
      <c r="AB19" s="124"/>
      <c r="AC19" s="124"/>
      <c r="AD19" s="124"/>
      <c r="AE19" s="124"/>
      <c r="AF19" s="124"/>
      <c r="AG19" s="124"/>
      <c r="AH19" s="124"/>
      <c r="AI19" s="124"/>
      <c r="AJ19" s="124"/>
      <c r="AK19" s="124"/>
      <c r="AL19" s="124"/>
      <c r="AM19" s="124"/>
      <c r="AN19" s="124"/>
      <c r="AO19" s="124"/>
      <c r="AP19" s="124"/>
      <c r="AQ19" s="124"/>
      <c r="AR19" s="124"/>
      <c r="AS19" s="123"/>
      <c r="AT19" s="123"/>
      <c r="AU19" s="123"/>
      <c r="AV19" s="123"/>
    </row>
    <row r="20" spans="1:48" x14ac:dyDescent="0.2">
      <c r="A20" s="8"/>
      <c r="B20" s="122"/>
      <c r="C20" s="122"/>
      <c r="D20" s="122"/>
      <c r="E20" s="123"/>
      <c r="F20" s="123"/>
      <c r="G20" s="123"/>
      <c r="H20" s="123"/>
      <c r="I20" s="123"/>
      <c r="J20" s="123"/>
      <c r="K20" s="123"/>
      <c r="L20" s="123"/>
      <c r="M20" s="123"/>
      <c r="N20" s="123"/>
      <c r="O20" s="123"/>
      <c r="P20" s="124"/>
      <c r="Q20" s="124"/>
      <c r="R20" s="124"/>
      <c r="S20" s="124"/>
      <c r="T20" s="124"/>
      <c r="U20" s="124"/>
      <c r="V20" s="124"/>
      <c r="W20" s="124"/>
      <c r="X20" s="124"/>
      <c r="Y20" s="124"/>
      <c r="Z20" s="124"/>
      <c r="AA20" s="124"/>
      <c r="AB20" s="124"/>
      <c r="AC20" s="124"/>
      <c r="AD20" s="124"/>
      <c r="AE20" s="124"/>
      <c r="AF20" s="124"/>
      <c r="AG20" s="124"/>
      <c r="AH20" s="124"/>
      <c r="AI20" s="124"/>
      <c r="AJ20" s="124"/>
      <c r="AK20" s="124"/>
      <c r="AL20" s="124"/>
      <c r="AM20" s="124"/>
      <c r="AN20" s="124"/>
      <c r="AO20" s="124"/>
      <c r="AP20" s="124"/>
      <c r="AQ20" s="124"/>
      <c r="AR20" s="124"/>
      <c r="AS20" s="123"/>
      <c r="AT20" s="123"/>
      <c r="AU20" s="123"/>
      <c r="AV20" s="123"/>
    </row>
    <row r="21" spans="1:48" x14ac:dyDescent="0.2">
      <c r="A21" s="8"/>
      <c r="B21" s="122"/>
      <c r="C21" s="122"/>
      <c r="D21" s="122"/>
      <c r="E21" s="123"/>
      <c r="F21" s="123"/>
      <c r="G21" s="123"/>
      <c r="H21" s="123"/>
      <c r="I21" s="123"/>
      <c r="J21" s="123"/>
      <c r="K21" s="123"/>
      <c r="L21" s="123"/>
      <c r="M21" s="123"/>
      <c r="N21" s="123"/>
      <c r="O21" s="123"/>
      <c r="P21" s="124"/>
      <c r="Q21" s="124"/>
      <c r="R21" s="124"/>
      <c r="S21" s="124"/>
      <c r="T21" s="124"/>
      <c r="U21" s="124"/>
      <c r="V21" s="124"/>
      <c r="W21" s="124"/>
      <c r="X21" s="124"/>
      <c r="Y21" s="124"/>
      <c r="Z21" s="124"/>
      <c r="AA21" s="124"/>
      <c r="AB21" s="124"/>
      <c r="AC21" s="124"/>
      <c r="AD21" s="124"/>
      <c r="AE21" s="124"/>
      <c r="AF21" s="124"/>
      <c r="AG21" s="124"/>
      <c r="AH21" s="124"/>
      <c r="AI21" s="124"/>
      <c r="AJ21" s="124"/>
      <c r="AK21" s="124"/>
      <c r="AL21" s="124"/>
      <c r="AM21" s="124"/>
      <c r="AN21" s="124"/>
      <c r="AO21" s="124"/>
      <c r="AP21" s="124"/>
      <c r="AQ21" s="124"/>
      <c r="AR21" s="124"/>
      <c r="AS21" s="123"/>
      <c r="AT21" s="123"/>
      <c r="AU21" s="123"/>
      <c r="AV21" s="123"/>
    </row>
    <row r="22" spans="1:48" x14ac:dyDescent="0.2">
      <c r="A22" s="8"/>
      <c r="B22" s="122"/>
      <c r="C22" s="122"/>
      <c r="D22" s="122"/>
      <c r="E22" s="123"/>
      <c r="F22" s="123"/>
      <c r="G22" s="123"/>
      <c r="H22" s="123"/>
      <c r="I22" s="123"/>
      <c r="J22" s="123"/>
      <c r="K22" s="123"/>
      <c r="L22" s="123"/>
      <c r="M22" s="123"/>
      <c r="N22" s="123"/>
      <c r="O22" s="123"/>
      <c r="P22" s="124"/>
      <c r="Q22" s="124"/>
      <c r="R22" s="124"/>
      <c r="S22" s="124"/>
      <c r="T22" s="124"/>
      <c r="U22" s="124"/>
      <c r="V22" s="124"/>
      <c r="W22" s="124"/>
      <c r="X22" s="124"/>
      <c r="Y22" s="124"/>
      <c r="Z22" s="124"/>
      <c r="AA22" s="124"/>
      <c r="AB22" s="124"/>
      <c r="AC22" s="124"/>
      <c r="AD22" s="124"/>
      <c r="AE22" s="124"/>
      <c r="AF22" s="124"/>
      <c r="AG22" s="124"/>
      <c r="AH22" s="124"/>
      <c r="AI22" s="124"/>
      <c r="AJ22" s="124"/>
      <c r="AK22" s="124"/>
      <c r="AL22" s="124"/>
      <c r="AM22" s="124"/>
      <c r="AN22" s="124"/>
      <c r="AO22" s="124"/>
      <c r="AP22" s="124"/>
      <c r="AQ22" s="124"/>
      <c r="AR22" s="124"/>
      <c r="AS22" s="123"/>
      <c r="AT22" s="123"/>
      <c r="AU22" s="123"/>
      <c r="AV22" s="123"/>
    </row>
    <row r="23" spans="1:48" x14ac:dyDescent="0.2">
      <c r="A23" s="8"/>
      <c r="B23" s="122"/>
      <c r="C23" s="122"/>
      <c r="D23" s="122"/>
      <c r="E23" s="123"/>
      <c r="F23" s="123"/>
      <c r="G23" s="123"/>
      <c r="H23" s="123"/>
      <c r="I23" s="123"/>
      <c r="J23" s="123"/>
      <c r="K23" s="123"/>
      <c r="L23" s="123"/>
      <c r="M23" s="123"/>
      <c r="N23" s="123"/>
      <c r="O23" s="123"/>
      <c r="P23" s="124"/>
      <c r="Q23" s="124"/>
      <c r="R23" s="124"/>
      <c r="S23" s="124"/>
      <c r="T23" s="124"/>
      <c r="U23" s="124"/>
      <c r="V23" s="124"/>
      <c r="W23" s="124"/>
      <c r="X23" s="124"/>
      <c r="Y23" s="124"/>
      <c r="Z23" s="124"/>
      <c r="AA23" s="124"/>
      <c r="AB23" s="124"/>
      <c r="AC23" s="124"/>
      <c r="AD23" s="124"/>
      <c r="AE23" s="124"/>
      <c r="AF23" s="124"/>
      <c r="AG23" s="124"/>
      <c r="AH23" s="124"/>
      <c r="AI23" s="124"/>
      <c r="AJ23" s="124"/>
      <c r="AK23" s="124"/>
      <c r="AL23" s="124"/>
      <c r="AM23" s="124"/>
      <c r="AN23" s="124"/>
      <c r="AO23" s="124"/>
      <c r="AP23" s="124"/>
      <c r="AQ23" s="124"/>
      <c r="AR23" s="124"/>
      <c r="AS23" s="123"/>
      <c r="AT23" s="123"/>
      <c r="AU23" s="123"/>
      <c r="AV23" s="123"/>
    </row>
    <row r="24" spans="1:48" x14ac:dyDescent="0.2">
      <c r="A24" s="8"/>
      <c r="B24" s="122"/>
      <c r="C24" s="122"/>
      <c r="D24" s="122"/>
      <c r="E24" s="123"/>
      <c r="F24" s="123"/>
      <c r="G24" s="123"/>
      <c r="H24" s="123"/>
      <c r="I24" s="123"/>
      <c r="J24" s="123"/>
      <c r="K24" s="123"/>
      <c r="L24" s="123"/>
      <c r="M24" s="123"/>
      <c r="N24" s="123"/>
      <c r="O24" s="123"/>
      <c r="P24" s="124"/>
      <c r="Q24" s="124"/>
      <c r="R24" s="124"/>
      <c r="S24" s="124"/>
      <c r="T24" s="124"/>
      <c r="U24" s="124"/>
      <c r="V24" s="124"/>
      <c r="W24" s="124"/>
      <c r="X24" s="124"/>
      <c r="Y24" s="124"/>
      <c r="Z24" s="124"/>
      <c r="AA24" s="124"/>
      <c r="AB24" s="124"/>
      <c r="AC24" s="124"/>
      <c r="AD24" s="124"/>
      <c r="AE24" s="124"/>
      <c r="AF24" s="124"/>
      <c r="AG24" s="124"/>
      <c r="AH24" s="124"/>
      <c r="AI24" s="124"/>
      <c r="AJ24" s="124"/>
      <c r="AK24" s="124"/>
      <c r="AL24" s="124"/>
      <c r="AM24" s="124"/>
      <c r="AN24" s="124"/>
      <c r="AO24" s="124"/>
      <c r="AP24" s="124"/>
      <c r="AQ24" s="124"/>
      <c r="AR24" s="124"/>
      <c r="AS24" s="123"/>
      <c r="AT24" s="123"/>
      <c r="AU24" s="123"/>
      <c r="AV24" s="123"/>
    </row>
    <row r="25" spans="1:48" x14ac:dyDescent="0.2">
      <c r="A25" s="8"/>
      <c r="B25" s="122"/>
      <c r="C25" s="122"/>
      <c r="D25" s="122"/>
      <c r="E25" s="123"/>
      <c r="F25" s="123"/>
      <c r="G25" s="123"/>
      <c r="H25" s="123"/>
      <c r="I25" s="123"/>
      <c r="J25" s="123"/>
      <c r="K25" s="123"/>
      <c r="L25" s="123"/>
      <c r="M25" s="123"/>
      <c r="N25" s="123"/>
      <c r="O25" s="123"/>
      <c r="P25" s="124"/>
      <c r="Q25" s="124"/>
      <c r="R25" s="124"/>
      <c r="S25" s="124"/>
      <c r="T25" s="124"/>
      <c r="U25" s="124"/>
      <c r="V25" s="124"/>
      <c r="W25" s="124"/>
      <c r="X25" s="124"/>
      <c r="Y25" s="124"/>
      <c r="Z25" s="124"/>
      <c r="AA25" s="124"/>
      <c r="AB25" s="124"/>
      <c r="AC25" s="124"/>
      <c r="AD25" s="124"/>
      <c r="AE25" s="124"/>
      <c r="AF25" s="124"/>
      <c r="AG25" s="124"/>
      <c r="AH25" s="124"/>
      <c r="AI25" s="124"/>
      <c r="AJ25" s="124"/>
      <c r="AK25" s="124"/>
      <c r="AL25" s="124"/>
      <c r="AM25" s="124"/>
      <c r="AN25" s="124"/>
      <c r="AO25" s="124"/>
      <c r="AP25" s="124"/>
      <c r="AQ25" s="124"/>
      <c r="AR25" s="124"/>
      <c r="AS25" s="123"/>
      <c r="AT25" s="123"/>
      <c r="AU25" s="123"/>
      <c r="AV25" s="123"/>
    </row>
    <row r="26" spans="1:48" x14ac:dyDescent="0.2">
      <c r="A26" s="8"/>
      <c r="B26" s="122"/>
      <c r="C26" s="122"/>
      <c r="D26" s="122"/>
      <c r="E26" s="123"/>
      <c r="F26" s="123"/>
      <c r="G26" s="123"/>
      <c r="H26" s="123"/>
      <c r="I26" s="123"/>
      <c r="J26" s="123"/>
      <c r="K26" s="123"/>
      <c r="L26" s="123"/>
      <c r="M26" s="123"/>
      <c r="N26" s="123"/>
      <c r="O26" s="123"/>
      <c r="P26" s="124"/>
      <c r="Q26" s="124"/>
      <c r="R26" s="124"/>
      <c r="S26" s="124"/>
      <c r="T26" s="124"/>
      <c r="U26" s="124"/>
      <c r="V26" s="124"/>
      <c r="W26" s="124"/>
      <c r="X26" s="124"/>
      <c r="Y26" s="124"/>
      <c r="Z26" s="124"/>
      <c r="AA26" s="124"/>
      <c r="AB26" s="124"/>
      <c r="AC26" s="124"/>
      <c r="AD26" s="124"/>
      <c r="AE26" s="124"/>
      <c r="AF26" s="124"/>
      <c r="AG26" s="124"/>
      <c r="AH26" s="124"/>
      <c r="AI26" s="124"/>
      <c r="AJ26" s="124"/>
      <c r="AK26" s="124"/>
      <c r="AL26" s="124"/>
      <c r="AM26" s="124"/>
      <c r="AN26" s="124"/>
      <c r="AO26" s="124"/>
      <c r="AP26" s="124"/>
      <c r="AQ26" s="124"/>
      <c r="AR26" s="124"/>
      <c r="AS26" s="123"/>
      <c r="AT26" s="123"/>
      <c r="AU26" s="123"/>
      <c r="AV26" s="123"/>
    </row>
    <row r="27" spans="1:48" x14ac:dyDescent="0.2">
      <c r="A27" s="8"/>
      <c r="B27" s="122"/>
      <c r="C27" s="122"/>
      <c r="D27" s="122"/>
      <c r="E27" s="123"/>
      <c r="F27" s="123"/>
      <c r="G27" s="123"/>
      <c r="H27" s="123"/>
      <c r="I27" s="123"/>
      <c r="J27" s="123"/>
      <c r="K27" s="123"/>
      <c r="L27" s="123"/>
      <c r="M27" s="123"/>
      <c r="N27" s="123"/>
      <c r="O27" s="123"/>
      <c r="P27" s="124"/>
      <c r="Q27" s="124"/>
      <c r="R27" s="124"/>
      <c r="S27" s="124"/>
      <c r="T27" s="124"/>
      <c r="U27" s="124"/>
      <c r="V27" s="124"/>
      <c r="W27" s="124"/>
      <c r="X27" s="124"/>
      <c r="Y27" s="124"/>
      <c r="Z27" s="124"/>
      <c r="AA27" s="124"/>
      <c r="AB27" s="124"/>
      <c r="AC27" s="124"/>
      <c r="AD27" s="124"/>
      <c r="AE27" s="124"/>
      <c r="AF27" s="124"/>
      <c r="AG27" s="124"/>
      <c r="AH27" s="124"/>
      <c r="AI27" s="124"/>
      <c r="AJ27" s="124"/>
      <c r="AK27" s="124"/>
      <c r="AL27" s="124"/>
      <c r="AM27" s="124"/>
      <c r="AN27" s="124"/>
      <c r="AO27" s="124"/>
      <c r="AP27" s="124"/>
      <c r="AQ27" s="124"/>
      <c r="AR27" s="124"/>
      <c r="AS27" s="123"/>
      <c r="AT27" s="123"/>
      <c r="AU27" s="123"/>
      <c r="AV27" s="123"/>
    </row>
    <row r="28" spans="1:48" x14ac:dyDescent="0.2">
      <c r="A28" s="8"/>
      <c r="B28" s="122"/>
      <c r="C28" s="122"/>
      <c r="D28" s="122"/>
      <c r="E28" s="123"/>
      <c r="F28" s="123"/>
      <c r="G28" s="123"/>
      <c r="H28" s="123"/>
      <c r="I28" s="123"/>
      <c r="J28" s="123"/>
      <c r="K28" s="123"/>
      <c r="L28" s="123"/>
      <c r="M28" s="123"/>
      <c r="N28" s="123"/>
      <c r="O28" s="123"/>
      <c r="P28" s="124"/>
      <c r="Q28" s="124"/>
      <c r="R28" s="124"/>
      <c r="S28" s="124"/>
      <c r="T28" s="124"/>
      <c r="U28" s="124"/>
      <c r="V28" s="124"/>
      <c r="W28" s="124"/>
      <c r="X28" s="124"/>
      <c r="Y28" s="124"/>
      <c r="Z28" s="124"/>
      <c r="AA28" s="124"/>
      <c r="AB28" s="124"/>
      <c r="AC28" s="124"/>
      <c r="AD28" s="124"/>
      <c r="AE28" s="124"/>
      <c r="AF28" s="124"/>
      <c r="AG28" s="124"/>
      <c r="AH28" s="124"/>
      <c r="AI28" s="124"/>
      <c r="AJ28" s="124"/>
      <c r="AK28" s="124"/>
      <c r="AL28" s="124"/>
      <c r="AM28" s="124"/>
      <c r="AN28" s="124"/>
      <c r="AO28" s="124"/>
      <c r="AP28" s="124"/>
      <c r="AQ28" s="124"/>
      <c r="AR28" s="124"/>
      <c r="AS28" s="123"/>
      <c r="AT28" s="123"/>
      <c r="AU28" s="123"/>
      <c r="AV28" s="123"/>
    </row>
    <row r="29" spans="1:48" x14ac:dyDescent="0.2">
      <c r="A29" s="8"/>
      <c r="B29" s="122"/>
      <c r="C29" s="122"/>
      <c r="D29" s="122"/>
      <c r="E29" s="123"/>
      <c r="F29" s="123"/>
      <c r="G29" s="123"/>
      <c r="H29" s="123"/>
      <c r="I29" s="123"/>
      <c r="J29" s="123"/>
      <c r="K29" s="123"/>
      <c r="L29" s="123"/>
      <c r="M29" s="123"/>
      <c r="N29" s="123"/>
      <c r="O29" s="123"/>
      <c r="P29" s="124"/>
      <c r="Q29" s="124"/>
      <c r="R29" s="124"/>
      <c r="S29" s="124"/>
      <c r="T29" s="124"/>
      <c r="U29" s="124"/>
      <c r="V29" s="124"/>
      <c r="W29" s="124"/>
      <c r="X29" s="124"/>
      <c r="Y29" s="124"/>
      <c r="Z29" s="124"/>
      <c r="AA29" s="124"/>
      <c r="AB29" s="124"/>
      <c r="AC29" s="124"/>
      <c r="AD29" s="124"/>
      <c r="AE29" s="124"/>
      <c r="AF29" s="124"/>
      <c r="AG29" s="124"/>
      <c r="AH29" s="124"/>
      <c r="AI29" s="124"/>
      <c r="AJ29" s="124"/>
      <c r="AK29" s="124"/>
      <c r="AL29" s="124"/>
      <c r="AM29" s="124"/>
      <c r="AN29" s="124"/>
      <c r="AO29" s="124"/>
      <c r="AP29" s="124"/>
      <c r="AQ29" s="124"/>
      <c r="AR29" s="124"/>
      <c r="AS29" s="123"/>
      <c r="AT29" s="123"/>
      <c r="AU29" s="123"/>
      <c r="AV29" s="123"/>
    </row>
    <row r="30" spans="1:48" x14ac:dyDescent="0.2">
      <c r="A30" s="8"/>
      <c r="B30" s="122"/>
      <c r="C30" s="122"/>
      <c r="D30" s="122"/>
      <c r="E30" s="123"/>
      <c r="F30" s="123"/>
      <c r="G30" s="123"/>
      <c r="H30" s="123"/>
      <c r="I30" s="123"/>
      <c r="J30" s="123"/>
      <c r="K30" s="123"/>
      <c r="L30" s="123"/>
      <c r="M30" s="123"/>
      <c r="N30" s="123"/>
      <c r="O30" s="123"/>
      <c r="P30" s="124"/>
      <c r="Q30" s="124"/>
      <c r="R30" s="124"/>
      <c r="S30" s="124"/>
      <c r="T30" s="124"/>
      <c r="U30" s="124"/>
      <c r="V30" s="124"/>
      <c r="W30" s="124"/>
      <c r="X30" s="124"/>
      <c r="Y30" s="124"/>
      <c r="Z30" s="124"/>
      <c r="AA30" s="124"/>
      <c r="AB30" s="124"/>
      <c r="AC30" s="124"/>
      <c r="AD30" s="124"/>
      <c r="AE30" s="124"/>
      <c r="AF30" s="124"/>
      <c r="AG30" s="124"/>
      <c r="AH30" s="124"/>
      <c r="AI30" s="124"/>
      <c r="AJ30" s="124"/>
      <c r="AK30" s="124"/>
      <c r="AL30" s="124"/>
      <c r="AM30" s="124"/>
      <c r="AN30" s="124"/>
      <c r="AO30" s="124"/>
      <c r="AP30" s="124"/>
      <c r="AQ30" s="124"/>
      <c r="AR30" s="124"/>
      <c r="AS30" s="123"/>
      <c r="AT30" s="123"/>
      <c r="AU30" s="123"/>
      <c r="AV30" s="123"/>
    </row>
    <row r="31" spans="1:48" x14ac:dyDescent="0.2">
      <c r="A31" s="8"/>
      <c r="B31" s="122"/>
      <c r="C31" s="122"/>
      <c r="D31" s="122"/>
      <c r="E31" s="123"/>
      <c r="F31" s="123"/>
      <c r="G31" s="123"/>
      <c r="H31" s="123"/>
      <c r="I31" s="123"/>
      <c r="J31" s="123"/>
      <c r="K31" s="123"/>
      <c r="L31" s="123"/>
      <c r="M31" s="123"/>
      <c r="N31" s="123"/>
      <c r="O31" s="123"/>
      <c r="P31" s="124"/>
      <c r="Q31" s="124"/>
      <c r="R31" s="124"/>
      <c r="S31" s="124"/>
      <c r="T31" s="124"/>
      <c r="U31" s="124"/>
      <c r="V31" s="124"/>
      <c r="W31" s="124"/>
      <c r="X31" s="124"/>
      <c r="Y31" s="124"/>
      <c r="Z31" s="124"/>
      <c r="AA31" s="124"/>
      <c r="AB31" s="124"/>
      <c r="AC31" s="124"/>
      <c r="AD31" s="124"/>
      <c r="AE31" s="124"/>
      <c r="AF31" s="124"/>
      <c r="AG31" s="124"/>
      <c r="AH31" s="124"/>
      <c r="AI31" s="124"/>
      <c r="AJ31" s="124"/>
      <c r="AK31" s="124"/>
      <c r="AL31" s="124"/>
      <c r="AM31" s="124"/>
      <c r="AN31" s="124"/>
      <c r="AO31" s="124"/>
      <c r="AP31" s="124"/>
      <c r="AQ31" s="124"/>
      <c r="AR31" s="124"/>
      <c r="AS31" s="123"/>
      <c r="AT31" s="123"/>
      <c r="AU31" s="123"/>
      <c r="AV31" s="123"/>
    </row>
    <row r="32" spans="1:48" x14ac:dyDescent="0.2">
      <c r="A32" s="8"/>
      <c r="B32" s="122"/>
      <c r="C32" s="122"/>
      <c r="D32" s="122"/>
      <c r="E32" s="123"/>
      <c r="F32" s="123"/>
      <c r="G32" s="123"/>
      <c r="H32" s="123"/>
      <c r="I32" s="123"/>
      <c r="J32" s="123"/>
      <c r="K32" s="123"/>
      <c r="L32" s="123"/>
      <c r="M32" s="123"/>
      <c r="N32" s="123"/>
      <c r="O32" s="123"/>
      <c r="P32" s="124"/>
      <c r="Q32" s="124"/>
      <c r="R32" s="124"/>
      <c r="S32" s="124"/>
      <c r="T32" s="124"/>
      <c r="U32" s="124"/>
      <c r="V32" s="124"/>
      <c r="W32" s="124"/>
      <c r="X32" s="124"/>
      <c r="Y32" s="124"/>
      <c r="Z32" s="124"/>
      <c r="AA32" s="124"/>
      <c r="AB32" s="124"/>
      <c r="AC32" s="124"/>
      <c r="AD32" s="124"/>
      <c r="AE32" s="124"/>
      <c r="AF32" s="124"/>
      <c r="AG32" s="124"/>
      <c r="AH32" s="124"/>
      <c r="AI32" s="124"/>
      <c r="AJ32" s="124"/>
      <c r="AK32" s="124"/>
      <c r="AL32" s="124"/>
      <c r="AM32" s="124"/>
      <c r="AN32" s="124"/>
      <c r="AO32" s="124"/>
      <c r="AP32" s="124"/>
      <c r="AQ32" s="124"/>
      <c r="AR32" s="124"/>
      <c r="AS32" s="123"/>
      <c r="AT32" s="123"/>
      <c r="AU32" s="123"/>
      <c r="AV32" s="123"/>
    </row>
    <row r="33" spans="1:48" x14ac:dyDescent="0.2">
      <c r="A33" s="8"/>
      <c r="B33" s="122"/>
      <c r="C33" s="122"/>
      <c r="D33" s="122"/>
      <c r="E33" s="123"/>
      <c r="F33" s="123"/>
      <c r="G33" s="123"/>
      <c r="H33" s="123"/>
      <c r="I33" s="123"/>
      <c r="J33" s="123"/>
      <c r="K33" s="123"/>
      <c r="L33" s="123"/>
      <c r="M33" s="123"/>
      <c r="N33" s="123"/>
      <c r="O33" s="123"/>
      <c r="P33" s="124"/>
      <c r="Q33" s="124"/>
      <c r="R33" s="124"/>
      <c r="S33" s="124"/>
      <c r="T33" s="124"/>
      <c r="U33" s="124"/>
      <c r="V33" s="124"/>
      <c r="W33" s="124"/>
      <c r="X33" s="124"/>
      <c r="Y33" s="124"/>
      <c r="Z33" s="124"/>
      <c r="AA33" s="124"/>
      <c r="AB33" s="124"/>
      <c r="AC33" s="124"/>
      <c r="AD33" s="124"/>
      <c r="AE33" s="124"/>
      <c r="AF33" s="124"/>
      <c r="AG33" s="124"/>
      <c r="AH33" s="124"/>
      <c r="AI33" s="124"/>
      <c r="AJ33" s="124"/>
      <c r="AK33" s="124"/>
      <c r="AL33" s="124"/>
      <c r="AM33" s="124"/>
      <c r="AN33" s="124"/>
      <c r="AO33" s="124"/>
      <c r="AP33" s="124"/>
      <c r="AQ33" s="124"/>
      <c r="AR33" s="124"/>
      <c r="AS33" s="123"/>
      <c r="AT33" s="123"/>
      <c r="AU33" s="123"/>
      <c r="AV33" s="123"/>
    </row>
    <row r="34" spans="1:48" x14ac:dyDescent="0.2">
      <c r="A34" s="8"/>
      <c r="B34" s="122"/>
      <c r="C34" s="122"/>
      <c r="D34" s="122"/>
      <c r="E34" s="123"/>
      <c r="F34" s="123"/>
      <c r="G34" s="123"/>
      <c r="H34" s="123"/>
      <c r="I34" s="123"/>
      <c r="J34" s="123"/>
      <c r="K34" s="123"/>
      <c r="L34" s="123"/>
      <c r="M34" s="123"/>
      <c r="N34" s="123"/>
      <c r="O34" s="123"/>
      <c r="P34" s="124"/>
      <c r="Q34" s="124"/>
      <c r="R34" s="124"/>
      <c r="S34" s="124"/>
      <c r="T34" s="124"/>
      <c r="U34" s="124"/>
      <c r="V34" s="124"/>
      <c r="W34" s="124"/>
      <c r="X34" s="124"/>
      <c r="Y34" s="124"/>
      <c r="Z34" s="124"/>
      <c r="AA34" s="124"/>
      <c r="AB34" s="124"/>
      <c r="AC34" s="124"/>
      <c r="AD34" s="124"/>
      <c r="AE34" s="124"/>
      <c r="AF34" s="124"/>
      <c r="AG34" s="124"/>
      <c r="AH34" s="124"/>
      <c r="AI34" s="124"/>
      <c r="AJ34" s="124"/>
      <c r="AK34" s="124"/>
      <c r="AL34" s="124"/>
      <c r="AM34" s="124"/>
      <c r="AN34" s="124"/>
      <c r="AO34" s="124"/>
      <c r="AP34" s="124"/>
      <c r="AQ34" s="124"/>
      <c r="AR34" s="124"/>
      <c r="AS34" s="123"/>
      <c r="AT34" s="123"/>
      <c r="AU34" s="123"/>
      <c r="AV34" s="123"/>
    </row>
    <row r="35" spans="1:48" x14ac:dyDescent="0.2">
      <c r="A35" s="8"/>
      <c r="B35" s="122"/>
      <c r="C35" s="122"/>
      <c r="D35" s="122"/>
      <c r="E35" s="123"/>
      <c r="F35" s="123"/>
      <c r="G35" s="123"/>
      <c r="H35" s="123"/>
      <c r="I35" s="123"/>
      <c r="J35" s="123"/>
      <c r="K35" s="123"/>
      <c r="L35" s="123"/>
      <c r="M35" s="123"/>
      <c r="N35" s="123"/>
      <c r="O35" s="123"/>
      <c r="P35" s="124"/>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3"/>
      <c r="AT35" s="123"/>
      <c r="AU35" s="123"/>
      <c r="AV35" s="123"/>
    </row>
    <row r="36" spans="1:48" x14ac:dyDescent="0.2">
      <c r="A36" s="8"/>
      <c r="B36" s="122"/>
      <c r="C36" s="122"/>
      <c r="D36" s="122"/>
      <c r="E36" s="123"/>
      <c r="F36" s="123"/>
      <c r="G36" s="123"/>
      <c r="H36" s="123"/>
      <c r="I36" s="123"/>
      <c r="J36" s="123"/>
      <c r="K36" s="123"/>
      <c r="L36" s="123"/>
      <c r="M36" s="123"/>
      <c r="N36" s="123"/>
      <c r="O36" s="123"/>
      <c r="P36" s="124"/>
      <c r="Q36" s="124"/>
      <c r="R36" s="124"/>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3"/>
      <c r="AT36" s="123"/>
      <c r="AU36" s="123"/>
      <c r="AV36" s="123"/>
    </row>
    <row r="37" spans="1:48" x14ac:dyDescent="0.2">
      <c r="A37" s="8"/>
      <c r="B37" s="122"/>
      <c r="C37" s="122"/>
      <c r="D37" s="122"/>
      <c r="E37" s="123"/>
      <c r="F37" s="123"/>
      <c r="G37" s="123"/>
      <c r="H37" s="123"/>
      <c r="I37" s="123"/>
      <c r="J37" s="123"/>
      <c r="K37" s="123"/>
      <c r="L37" s="123"/>
      <c r="M37" s="123"/>
      <c r="N37" s="123"/>
      <c r="O37" s="123"/>
      <c r="P37" s="124"/>
      <c r="Q37" s="124"/>
      <c r="R37" s="124"/>
      <c r="S37" s="124"/>
      <c r="T37" s="124"/>
      <c r="U37" s="124"/>
      <c r="V37" s="124"/>
      <c r="W37" s="124"/>
      <c r="X37" s="124"/>
      <c r="Y37" s="124"/>
      <c r="Z37" s="124"/>
      <c r="AA37" s="124"/>
      <c r="AB37" s="124"/>
      <c r="AC37" s="124"/>
      <c r="AD37" s="124"/>
      <c r="AE37" s="124"/>
      <c r="AF37" s="124"/>
      <c r="AG37" s="124"/>
      <c r="AH37" s="124"/>
      <c r="AI37" s="124"/>
      <c r="AJ37" s="124"/>
      <c r="AK37" s="124"/>
      <c r="AL37" s="124"/>
      <c r="AM37" s="124"/>
      <c r="AN37" s="124"/>
      <c r="AO37" s="124"/>
      <c r="AP37" s="124"/>
      <c r="AQ37" s="124"/>
      <c r="AR37" s="124"/>
      <c r="AS37" s="123"/>
      <c r="AT37" s="123"/>
      <c r="AU37" s="123"/>
      <c r="AV37" s="123"/>
    </row>
    <row r="38" spans="1:48" x14ac:dyDescent="0.2">
      <c r="A38" s="8"/>
      <c r="B38" s="122"/>
      <c r="C38" s="122"/>
      <c r="D38" s="122"/>
      <c r="E38" s="123"/>
      <c r="F38" s="123"/>
      <c r="G38" s="123"/>
      <c r="H38" s="123"/>
      <c r="I38" s="123"/>
      <c r="J38" s="123"/>
      <c r="K38" s="123"/>
      <c r="L38" s="123"/>
      <c r="M38" s="123"/>
      <c r="N38" s="123"/>
      <c r="O38" s="123"/>
      <c r="P38" s="124"/>
      <c r="Q38" s="124"/>
      <c r="R38" s="124"/>
      <c r="S38" s="124"/>
      <c r="T38" s="124"/>
      <c r="U38" s="124"/>
      <c r="V38" s="124"/>
      <c r="W38" s="124"/>
      <c r="X38" s="124"/>
      <c r="Y38" s="124"/>
      <c r="Z38" s="124"/>
      <c r="AA38" s="124"/>
      <c r="AB38" s="124"/>
      <c r="AC38" s="124"/>
      <c r="AD38" s="124"/>
      <c r="AE38" s="124"/>
      <c r="AF38" s="124"/>
      <c r="AG38" s="124"/>
      <c r="AH38" s="124"/>
      <c r="AI38" s="124"/>
      <c r="AJ38" s="124"/>
      <c r="AK38" s="124"/>
      <c r="AL38" s="124"/>
      <c r="AM38" s="124"/>
      <c r="AN38" s="124"/>
      <c r="AO38" s="124"/>
      <c r="AP38" s="124"/>
      <c r="AQ38" s="124"/>
      <c r="AR38" s="124"/>
      <c r="AS38" s="123"/>
      <c r="AT38" s="123"/>
      <c r="AU38" s="123"/>
      <c r="AV38" s="123"/>
    </row>
    <row r="39" spans="1:48" x14ac:dyDescent="0.2">
      <c r="A39" s="8"/>
      <c r="B39" s="122"/>
      <c r="C39" s="122"/>
      <c r="D39" s="122"/>
      <c r="E39" s="123"/>
      <c r="F39" s="123"/>
      <c r="G39" s="123"/>
      <c r="H39" s="123"/>
      <c r="I39" s="123"/>
      <c r="J39" s="123"/>
      <c r="K39" s="123"/>
      <c r="L39" s="123"/>
      <c r="M39" s="123"/>
      <c r="N39" s="123"/>
      <c r="O39" s="123"/>
      <c r="P39" s="124"/>
      <c r="Q39" s="124"/>
      <c r="R39" s="124"/>
      <c r="S39" s="124"/>
      <c r="T39" s="124"/>
      <c r="U39" s="124"/>
      <c r="V39" s="124"/>
      <c r="W39" s="124"/>
      <c r="X39" s="124"/>
      <c r="Y39" s="124"/>
      <c r="Z39" s="124"/>
      <c r="AA39" s="124"/>
      <c r="AB39" s="124"/>
      <c r="AC39" s="124"/>
      <c r="AD39" s="124"/>
      <c r="AE39" s="124"/>
      <c r="AF39" s="124"/>
      <c r="AG39" s="124"/>
      <c r="AH39" s="124"/>
      <c r="AI39" s="124"/>
      <c r="AJ39" s="124"/>
      <c r="AK39" s="124"/>
      <c r="AL39" s="124"/>
      <c r="AM39" s="124"/>
      <c r="AN39" s="124"/>
      <c r="AO39" s="124"/>
      <c r="AP39" s="124"/>
      <c r="AQ39" s="124"/>
      <c r="AR39" s="124"/>
      <c r="AS39" s="123"/>
      <c r="AT39" s="123"/>
      <c r="AU39" s="123"/>
      <c r="AV39" s="123"/>
    </row>
    <row r="40" spans="1:48" x14ac:dyDescent="0.2">
      <c r="A40" s="8"/>
      <c r="B40" s="122"/>
      <c r="C40" s="122"/>
      <c r="D40" s="122"/>
      <c r="E40" s="123"/>
      <c r="F40" s="123"/>
      <c r="G40" s="123"/>
      <c r="H40" s="123"/>
      <c r="I40" s="123"/>
      <c r="J40" s="123"/>
      <c r="K40" s="123"/>
      <c r="L40" s="123"/>
      <c r="M40" s="123"/>
      <c r="N40" s="123"/>
      <c r="O40" s="123"/>
      <c r="P40" s="124"/>
      <c r="Q40" s="124"/>
      <c r="R40" s="124"/>
      <c r="S40" s="124"/>
      <c r="T40" s="124"/>
      <c r="U40" s="124"/>
      <c r="V40" s="124"/>
      <c r="W40" s="124"/>
      <c r="X40" s="124"/>
      <c r="Y40" s="124"/>
      <c r="Z40" s="124"/>
      <c r="AA40" s="124"/>
      <c r="AB40" s="124"/>
      <c r="AC40" s="124"/>
      <c r="AD40" s="124"/>
      <c r="AE40" s="124"/>
      <c r="AF40" s="124"/>
      <c r="AG40" s="124"/>
      <c r="AH40" s="124"/>
      <c r="AI40" s="124"/>
      <c r="AJ40" s="124"/>
      <c r="AK40" s="124"/>
      <c r="AL40" s="124"/>
      <c r="AM40" s="124"/>
      <c r="AN40" s="124"/>
      <c r="AO40" s="124"/>
      <c r="AP40" s="124"/>
      <c r="AQ40" s="124"/>
      <c r="AR40" s="124"/>
      <c r="AS40" s="123"/>
      <c r="AT40" s="123"/>
      <c r="AU40" s="123"/>
      <c r="AV40" s="123"/>
    </row>
    <row r="41" spans="1:48" x14ac:dyDescent="0.2">
      <c r="A41" s="8"/>
      <c r="B41" s="119"/>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c r="AA41" s="120"/>
      <c r="AB41" s="120"/>
      <c r="AC41" s="120"/>
      <c r="AD41" s="120"/>
      <c r="AE41" s="120"/>
      <c r="AF41" s="120"/>
      <c r="AG41" s="120"/>
      <c r="AH41" s="120"/>
      <c r="AI41" s="120"/>
      <c r="AJ41" s="120"/>
      <c r="AK41" s="120"/>
      <c r="AL41" s="120"/>
      <c r="AM41" s="120"/>
      <c r="AN41" s="120"/>
      <c r="AO41" s="120"/>
      <c r="AP41" s="120"/>
      <c r="AQ41" s="120"/>
      <c r="AR41" s="120"/>
      <c r="AS41" s="121"/>
      <c r="AT41" s="121"/>
      <c r="AU41" s="121"/>
      <c r="AV41" s="121"/>
    </row>
    <row r="42" spans="1:48" x14ac:dyDescent="0.2">
      <c r="A42" s="8"/>
      <c r="B42" s="8"/>
      <c r="C42" s="8"/>
      <c r="D42" s="8"/>
      <c r="E42" s="8"/>
      <c r="F42" s="8"/>
    </row>
  </sheetData>
  <mergeCells count="192">
    <mergeCell ref="AJ4:AL4"/>
    <mergeCell ref="AM4:AR4"/>
    <mergeCell ref="AS4:AU4"/>
    <mergeCell ref="AV4:BA4"/>
    <mergeCell ref="B2:G2"/>
    <mergeCell ref="H2:L2"/>
    <mergeCell ref="M2:S2"/>
    <mergeCell ref="T2:AF2"/>
    <mergeCell ref="B4:G4"/>
    <mergeCell ref="H4:L4"/>
    <mergeCell ref="M4:S4"/>
    <mergeCell ref="T4:AF4"/>
    <mergeCell ref="AS2:AU2"/>
    <mergeCell ref="AV2:BA2"/>
    <mergeCell ref="B3:G3"/>
    <mergeCell ref="H3:L3"/>
    <mergeCell ref="M3:S3"/>
    <mergeCell ref="T3:AF3"/>
    <mergeCell ref="AJ3:AL3"/>
    <mergeCell ref="AM3:AR3"/>
    <mergeCell ref="AS3:AU3"/>
    <mergeCell ref="AV3:BA3"/>
    <mergeCell ref="I8:O8"/>
    <mergeCell ref="P8:AR8"/>
    <mergeCell ref="AS8:AV8"/>
    <mergeCell ref="B9:D9"/>
    <mergeCell ref="E9:H9"/>
    <mergeCell ref="I9:O9"/>
    <mergeCell ref="P9:AR9"/>
    <mergeCell ref="AS9:AV9"/>
    <mergeCell ref="B8:D8"/>
    <mergeCell ref="E8:H8"/>
    <mergeCell ref="E10:H10"/>
    <mergeCell ref="I10:O10"/>
    <mergeCell ref="P10:AR10"/>
    <mergeCell ref="AS10:AV10"/>
    <mergeCell ref="B11:D11"/>
    <mergeCell ref="E11:H11"/>
    <mergeCell ref="I11:O11"/>
    <mergeCell ref="P11:AR11"/>
    <mergeCell ref="AS11:AV11"/>
    <mergeCell ref="B10:D10"/>
    <mergeCell ref="E12:H12"/>
    <mergeCell ref="I12:O12"/>
    <mergeCell ref="P12:AR12"/>
    <mergeCell ref="AS12:AV12"/>
    <mergeCell ref="B13:D13"/>
    <mergeCell ref="E13:H13"/>
    <mergeCell ref="I13:O13"/>
    <mergeCell ref="P13:AR13"/>
    <mergeCell ref="AS13:AV13"/>
    <mergeCell ref="B12:D12"/>
    <mergeCell ref="E14:H14"/>
    <mergeCell ref="I14:O14"/>
    <mergeCell ref="P14:AR14"/>
    <mergeCell ref="AS14:AV14"/>
    <mergeCell ref="B15:D15"/>
    <mergeCell ref="E15:H15"/>
    <mergeCell ref="I15:O15"/>
    <mergeCell ref="P15:AR15"/>
    <mergeCell ref="AS15:AV15"/>
    <mergeCell ref="B14:D14"/>
    <mergeCell ref="E16:H16"/>
    <mergeCell ref="I16:O16"/>
    <mergeCell ref="P16:AR16"/>
    <mergeCell ref="AS16:AV16"/>
    <mergeCell ref="B17:D17"/>
    <mergeCell ref="E17:H17"/>
    <mergeCell ref="I17:O17"/>
    <mergeCell ref="P17:AR17"/>
    <mergeCell ref="AS17:AV17"/>
    <mergeCell ref="B16:D16"/>
    <mergeCell ref="E18:H18"/>
    <mergeCell ref="I18:O18"/>
    <mergeCell ref="P18:AR18"/>
    <mergeCell ref="AS18:AV18"/>
    <mergeCell ref="B19:D19"/>
    <mergeCell ref="E19:H19"/>
    <mergeCell ref="I19:O19"/>
    <mergeCell ref="P19:AR19"/>
    <mergeCell ref="AS19:AV19"/>
    <mergeCell ref="B18:D18"/>
    <mergeCell ref="E20:H20"/>
    <mergeCell ref="I20:O20"/>
    <mergeCell ref="P20:AR20"/>
    <mergeCell ref="AS20:AV20"/>
    <mergeCell ref="B21:D21"/>
    <mergeCell ref="E21:H21"/>
    <mergeCell ref="I21:O21"/>
    <mergeCell ref="P21:AR21"/>
    <mergeCell ref="AS21:AV21"/>
    <mergeCell ref="B20:D20"/>
    <mergeCell ref="E22:H22"/>
    <mergeCell ref="I22:O22"/>
    <mergeCell ref="P22:AR22"/>
    <mergeCell ref="AS22:AV22"/>
    <mergeCell ref="B23:D23"/>
    <mergeCell ref="E23:H23"/>
    <mergeCell ref="I23:O23"/>
    <mergeCell ref="P23:AR23"/>
    <mergeCell ref="AS23:AV23"/>
    <mergeCell ref="B22:D22"/>
    <mergeCell ref="E24:H24"/>
    <mergeCell ref="I24:O24"/>
    <mergeCell ref="P24:AR24"/>
    <mergeCell ref="AS24:AV24"/>
    <mergeCell ref="B25:D25"/>
    <mergeCell ref="E25:H25"/>
    <mergeCell ref="I25:O25"/>
    <mergeCell ref="P25:AR25"/>
    <mergeCell ref="AS25:AV25"/>
    <mergeCell ref="B24:D24"/>
    <mergeCell ref="E26:H26"/>
    <mergeCell ref="I26:O26"/>
    <mergeCell ref="P26:AR26"/>
    <mergeCell ref="AS26:AV26"/>
    <mergeCell ref="B27:D27"/>
    <mergeCell ref="E27:H27"/>
    <mergeCell ref="I27:O27"/>
    <mergeCell ref="P27:AR27"/>
    <mergeCell ref="AS27:AV27"/>
    <mergeCell ref="B26:D26"/>
    <mergeCell ref="E28:H28"/>
    <mergeCell ref="I28:O28"/>
    <mergeCell ref="P28:AR28"/>
    <mergeCell ref="AS28:AV28"/>
    <mergeCell ref="B29:D29"/>
    <mergeCell ref="E29:H29"/>
    <mergeCell ref="I29:O29"/>
    <mergeCell ref="P29:AR29"/>
    <mergeCell ref="AS29:AV29"/>
    <mergeCell ref="B28:D28"/>
    <mergeCell ref="E30:H30"/>
    <mergeCell ref="I30:O30"/>
    <mergeCell ref="P30:AR30"/>
    <mergeCell ref="AS30:AV30"/>
    <mergeCell ref="B31:D31"/>
    <mergeCell ref="E31:H31"/>
    <mergeCell ref="I31:O31"/>
    <mergeCell ref="P31:AR31"/>
    <mergeCell ref="AS31:AV31"/>
    <mergeCell ref="B30:D30"/>
    <mergeCell ref="E32:H32"/>
    <mergeCell ref="I32:O32"/>
    <mergeCell ref="P32:AR32"/>
    <mergeCell ref="AS32:AV32"/>
    <mergeCell ref="B33:D33"/>
    <mergeCell ref="E33:H33"/>
    <mergeCell ref="I33:O33"/>
    <mergeCell ref="P33:AR33"/>
    <mergeCell ref="AS33:AV33"/>
    <mergeCell ref="B32:D32"/>
    <mergeCell ref="E34:H34"/>
    <mergeCell ref="I34:O34"/>
    <mergeCell ref="P34:AR34"/>
    <mergeCell ref="AS34:AV34"/>
    <mergeCell ref="B35:D35"/>
    <mergeCell ref="E35:H35"/>
    <mergeCell ref="I35:O35"/>
    <mergeCell ref="P35:AR35"/>
    <mergeCell ref="AS35:AV35"/>
    <mergeCell ref="B34:D34"/>
    <mergeCell ref="E36:H36"/>
    <mergeCell ref="I36:O36"/>
    <mergeCell ref="P36:AR36"/>
    <mergeCell ref="AS36:AV36"/>
    <mergeCell ref="B37:D37"/>
    <mergeCell ref="E37:H37"/>
    <mergeCell ref="I37:O37"/>
    <mergeCell ref="P37:AR37"/>
    <mergeCell ref="AS37:AV37"/>
    <mergeCell ref="B36:D36"/>
    <mergeCell ref="E38:H38"/>
    <mergeCell ref="I38:O38"/>
    <mergeCell ref="P38:AR38"/>
    <mergeCell ref="AS38:AV38"/>
    <mergeCell ref="B39:D39"/>
    <mergeCell ref="E39:H39"/>
    <mergeCell ref="I39:O39"/>
    <mergeCell ref="P39:AR39"/>
    <mergeCell ref="AS39:AV39"/>
    <mergeCell ref="B38:D38"/>
    <mergeCell ref="B41:D41"/>
    <mergeCell ref="E41:H41"/>
    <mergeCell ref="I41:O41"/>
    <mergeCell ref="P41:AR41"/>
    <mergeCell ref="AS41:AV41"/>
    <mergeCell ref="B40:D40"/>
    <mergeCell ref="E40:H40"/>
    <mergeCell ref="I40:O40"/>
    <mergeCell ref="P40:AR40"/>
    <mergeCell ref="AS40:AV40"/>
  </mergeCells>
  <phoneticPr fontId="6"/>
  <pageMargins left="0.70866141732283472" right="0.70866141732283472" top="0.74803149606299213" bottom="0.74803149606299213" header="0.31496062992125984" footer="0.31496062992125984"/>
  <pageSetup paperSize="9" scale="94" orientation="landscape" r:id="rId1"/>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BA13"/>
  <sheetViews>
    <sheetView showGridLines="0" view="pageBreakPreview" zoomScaleNormal="100" zoomScaleSheetLayoutView="100" workbookViewId="0">
      <selection activeCell="A10" sqref="A10"/>
    </sheetView>
  </sheetViews>
  <sheetFormatPr defaultColWidth="2.453125" defaultRowHeight="13" x14ac:dyDescent="0.2"/>
  <cols>
    <col min="1" max="16384" width="2.453125" style="1"/>
  </cols>
  <sheetData>
    <row r="2" spans="2:5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5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53"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53" ht="13.5" customHeight="1" x14ac:dyDescent="0.2">
      <c r="AH5" s="13"/>
      <c r="AI5" s="13"/>
      <c r="AJ5" s="13"/>
      <c r="AK5" s="13"/>
      <c r="AL5" s="13"/>
      <c r="AM5" s="13"/>
      <c r="AN5" s="13"/>
      <c r="AO5" s="13"/>
      <c r="AP5" s="13"/>
      <c r="AQ5" s="13"/>
      <c r="AR5" s="13"/>
      <c r="AS5" s="13"/>
      <c r="AT5" s="13"/>
      <c r="AU5" s="13"/>
    </row>
    <row r="6" spans="2:53" x14ac:dyDescent="0.2">
      <c r="B6" s="128" t="s">
        <v>25</v>
      </c>
      <c r="C6" s="129"/>
      <c r="D6" s="129"/>
      <c r="E6" s="129"/>
      <c r="F6" s="129"/>
      <c r="G6" s="129"/>
      <c r="H6" s="129"/>
      <c r="I6" s="129"/>
      <c r="J6" s="129"/>
      <c r="K6" s="129"/>
      <c r="L6" s="129"/>
      <c r="M6" s="129"/>
      <c r="N6" s="129"/>
      <c r="O6" s="129"/>
      <c r="P6" s="129"/>
      <c r="Q6" s="129"/>
      <c r="R6" s="129"/>
      <c r="S6" s="129"/>
      <c r="T6" s="129"/>
      <c r="U6" s="129"/>
      <c r="V6" s="129"/>
      <c r="W6" s="129"/>
      <c r="X6" s="129"/>
      <c r="Y6" s="129"/>
      <c r="Z6" s="129"/>
      <c r="AA6" s="129"/>
      <c r="AB6" s="129"/>
      <c r="AC6" s="129"/>
      <c r="AD6" s="129"/>
      <c r="AE6" s="129"/>
      <c r="AF6" s="129"/>
      <c r="AG6" s="129"/>
      <c r="AH6" s="129"/>
      <c r="AI6" s="129"/>
      <c r="AJ6" s="129"/>
      <c r="AK6" s="129"/>
      <c r="AL6" s="129"/>
      <c r="AM6" s="129"/>
      <c r="AN6" s="129"/>
      <c r="AO6" s="129"/>
      <c r="AP6" s="129"/>
      <c r="AQ6" s="129"/>
      <c r="AR6" s="129"/>
      <c r="AS6" s="129"/>
      <c r="AT6" s="129"/>
      <c r="AU6" s="129"/>
      <c r="AV6" s="129"/>
      <c r="AW6" s="129"/>
      <c r="AX6" s="129"/>
      <c r="AY6" s="129"/>
      <c r="AZ6" s="129"/>
      <c r="BA6" s="130"/>
    </row>
    <row r="7" spans="2:53" x14ac:dyDescent="0.2">
      <c r="B7" s="10" t="s">
        <v>26</v>
      </c>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2"/>
    </row>
    <row r="8" spans="2:53" x14ac:dyDescent="0.2">
      <c r="B8" s="2"/>
      <c r="C8" s="1" t="s">
        <v>27</v>
      </c>
      <c r="BA8" s="3"/>
    </row>
    <row r="9" spans="2:53" x14ac:dyDescent="0.2">
      <c r="B9" s="2"/>
      <c r="C9" s="1" t="s">
        <v>28</v>
      </c>
      <c r="BA9" s="3"/>
    </row>
    <row r="10" spans="2:53" x14ac:dyDescent="0.2">
      <c r="B10" s="2"/>
      <c r="BA10" s="3"/>
    </row>
    <row r="11" spans="2:53" x14ac:dyDescent="0.2">
      <c r="B11" s="2" t="s">
        <v>29</v>
      </c>
      <c r="BA11" s="3"/>
    </row>
    <row r="12" spans="2:53" x14ac:dyDescent="0.2">
      <c r="B12" s="2"/>
      <c r="C12" s="1" t="s">
        <v>30</v>
      </c>
      <c r="BA12" s="3"/>
    </row>
    <row r="13" spans="2:53" x14ac:dyDescent="0.2">
      <c r="B13" s="4"/>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6"/>
    </row>
  </sheetData>
  <mergeCells count="23">
    <mergeCell ref="AS2:AU2"/>
    <mergeCell ref="AV2:BA2"/>
    <mergeCell ref="AM3:AR3"/>
    <mergeCell ref="B2:G2"/>
    <mergeCell ref="H2:L2"/>
    <mergeCell ref="M2:S2"/>
    <mergeCell ref="T2:AF2"/>
    <mergeCell ref="B6:BA6"/>
    <mergeCell ref="AS3:AU3"/>
    <mergeCell ref="AV3:BA3"/>
    <mergeCell ref="B4:G4"/>
    <mergeCell ref="H4:L4"/>
    <mergeCell ref="M4:S4"/>
    <mergeCell ref="T4:AF4"/>
    <mergeCell ref="AJ4:AL4"/>
    <mergeCell ref="AM4:AR4"/>
    <mergeCell ref="AS4:AU4"/>
    <mergeCell ref="AV4:BA4"/>
    <mergeCell ref="B3:G3"/>
    <mergeCell ref="H3:L3"/>
    <mergeCell ref="M3:S3"/>
    <mergeCell ref="T3:AF3"/>
    <mergeCell ref="AJ3:AL3"/>
  </mergeCells>
  <phoneticPr fontId="3"/>
  <pageMargins left="0.39370078740157483" right="0.39370078740157483" top="0.59055118110236227" bottom="0.59055118110236227" header="0.31496062992125984" footer="0.31496062992125984"/>
  <pageSetup paperSize="9" scale="98" orientation="landscape" r:id="rId1"/>
  <headerFooter>
    <oddFooter>&amp;P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BA41"/>
  <sheetViews>
    <sheetView showGridLines="0" view="pageBreakPreview" zoomScaleNormal="100" zoomScaleSheetLayoutView="100" workbookViewId="0"/>
  </sheetViews>
  <sheetFormatPr defaultColWidth="2.453125" defaultRowHeight="13" x14ac:dyDescent="0.2"/>
  <cols>
    <col min="1" max="16384" width="2.453125" style="1"/>
  </cols>
  <sheetData>
    <row r="2" spans="2:5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5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53"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53" ht="13.5" customHeight="1" x14ac:dyDescent="0.2">
      <c r="AH5" s="13"/>
      <c r="AI5" s="13"/>
      <c r="AJ5" s="13"/>
      <c r="AK5" s="13"/>
      <c r="AL5" s="13"/>
      <c r="AM5" s="13"/>
      <c r="AN5" s="13"/>
      <c r="AO5" s="13"/>
      <c r="AP5" s="13"/>
      <c r="AQ5" s="13"/>
      <c r="AR5" s="13"/>
      <c r="AS5" s="13"/>
      <c r="AT5" s="13"/>
      <c r="AU5" s="13"/>
    </row>
    <row r="6" spans="2:53" x14ac:dyDescent="0.2">
      <c r="B6" s="128" t="s">
        <v>31</v>
      </c>
      <c r="C6" s="129"/>
      <c r="D6" s="129"/>
      <c r="E6" s="129"/>
      <c r="F6" s="129"/>
      <c r="G6" s="129"/>
      <c r="H6" s="129"/>
      <c r="I6" s="129"/>
      <c r="J6" s="129"/>
      <c r="K6" s="129"/>
      <c r="L6" s="129"/>
      <c r="M6" s="129"/>
      <c r="N6" s="129"/>
      <c r="O6" s="129"/>
      <c r="P6" s="129"/>
      <c r="Q6" s="129"/>
      <c r="R6" s="129"/>
      <c r="S6" s="129"/>
      <c r="T6" s="129"/>
      <c r="U6" s="129"/>
      <c r="V6" s="129"/>
      <c r="W6" s="129"/>
      <c r="X6" s="129"/>
      <c r="Y6" s="129"/>
      <c r="Z6" s="129"/>
      <c r="AA6" s="129"/>
      <c r="AB6" s="129"/>
      <c r="AC6" s="129"/>
      <c r="AD6" s="129"/>
      <c r="AE6" s="129"/>
      <c r="AF6" s="129"/>
      <c r="AG6" s="129"/>
      <c r="AH6" s="129"/>
      <c r="AI6" s="129"/>
      <c r="AJ6" s="129"/>
      <c r="AK6" s="129"/>
      <c r="AL6" s="129"/>
      <c r="AM6" s="129"/>
      <c r="AN6" s="129"/>
      <c r="AO6" s="129"/>
      <c r="AP6" s="129"/>
      <c r="AQ6" s="129"/>
      <c r="AR6" s="129"/>
      <c r="AS6" s="129"/>
      <c r="AT6" s="129"/>
      <c r="AU6" s="129"/>
      <c r="AV6" s="129"/>
      <c r="AW6" s="129"/>
      <c r="AX6" s="129"/>
      <c r="AY6" s="129"/>
      <c r="AZ6" s="129"/>
      <c r="BA6" s="130"/>
    </row>
    <row r="7" spans="2:53" x14ac:dyDescent="0.2">
      <c r="B7" s="137" t="s">
        <v>32</v>
      </c>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9"/>
    </row>
    <row r="9" spans="2:53" ht="13.5" customHeight="1" x14ac:dyDescent="0.2">
      <c r="B9" s="128" t="s">
        <v>33</v>
      </c>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c r="AH9" s="129"/>
      <c r="AI9" s="129"/>
      <c r="AJ9" s="129"/>
      <c r="AK9" s="129"/>
      <c r="AL9" s="129"/>
      <c r="AM9" s="129"/>
      <c r="AN9" s="129"/>
      <c r="AO9" s="129"/>
      <c r="AP9" s="129"/>
      <c r="AQ9" s="129"/>
      <c r="AR9" s="129"/>
      <c r="AS9" s="129"/>
      <c r="AT9" s="129"/>
      <c r="AU9" s="129"/>
      <c r="AV9" s="129"/>
      <c r="AW9" s="129"/>
      <c r="AX9" s="129"/>
      <c r="AY9" s="129"/>
      <c r="AZ9" s="129"/>
      <c r="BA9" s="130"/>
    </row>
    <row r="10" spans="2:53" x14ac:dyDescent="0.2">
      <c r="B10" s="10"/>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2"/>
    </row>
    <row r="11" spans="2:53" x14ac:dyDescent="0.2">
      <c r="B11" s="2"/>
      <c r="BA11" s="3"/>
    </row>
    <row r="12" spans="2:53" x14ac:dyDescent="0.2">
      <c r="B12" s="2"/>
      <c r="BA12" s="3"/>
    </row>
    <row r="13" spans="2:53" ht="15" customHeight="1" x14ac:dyDescent="0.2">
      <c r="B13" s="2"/>
      <c r="BA13" s="3"/>
    </row>
    <row r="14" spans="2:53" x14ac:dyDescent="0.2">
      <c r="B14" s="2"/>
      <c r="BA14" s="3"/>
    </row>
    <row r="15" spans="2:53" x14ac:dyDescent="0.2">
      <c r="B15" s="2"/>
      <c r="BA15" s="3"/>
    </row>
    <row r="16" spans="2:53" x14ac:dyDescent="0.2">
      <c r="B16" s="2"/>
      <c r="BA16" s="3"/>
    </row>
    <row r="17" spans="2:53" x14ac:dyDescent="0.2">
      <c r="B17" s="2"/>
      <c r="BA17" s="3"/>
    </row>
    <row r="18" spans="2:53" x14ac:dyDescent="0.2">
      <c r="B18" s="2"/>
      <c r="BA18" s="3"/>
    </row>
    <row r="19" spans="2:53" x14ac:dyDescent="0.2">
      <c r="B19" s="2"/>
      <c r="BA19" s="3"/>
    </row>
    <row r="20" spans="2:53" x14ac:dyDescent="0.2">
      <c r="B20" s="2"/>
      <c r="BA20" s="3"/>
    </row>
    <row r="21" spans="2:53" x14ac:dyDescent="0.2">
      <c r="B21" s="2"/>
      <c r="BA21" s="3"/>
    </row>
    <row r="22" spans="2:53" x14ac:dyDescent="0.2">
      <c r="B22" s="2"/>
      <c r="BA22" s="3"/>
    </row>
    <row r="23" spans="2:53" x14ac:dyDescent="0.2">
      <c r="B23" s="2"/>
      <c r="BA23" s="3"/>
    </row>
    <row r="24" spans="2:53" x14ac:dyDescent="0.2">
      <c r="B24" s="2"/>
      <c r="BA24" s="3"/>
    </row>
    <row r="25" spans="2:53" x14ac:dyDescent="0.2">
      <c r="B25" s="2"/>
      <c r="BA25" s="3"/>
    </row>
    <row r="26" spans="2:53" x14ac:dyDescent="0.2">
      <c r="B26" s="2"/>
      <c r="BA26" s="3"/>
    </row>
    <row r="27" spans="2:53" x14ac:dyDescent="0.2">
      <c r="B27" s="2"/>
      <c r="BA27" s="3"/>
    </row>
    <row r="28" spans="2:53" x14ac:dyDescent="0.2">
      <c r="B28" s="2"/>
      <c r="BA28" s="3"/>
    </row>
    <row r="29" spans="2:53" x14ac:dyDescent="0.2">
      <c r="B29" s="2"/>
      <c r="BA29" s="3"/>
    </row>
    <row r="30" spans="2:53" x14ac:dyDescent="0.2">
      <c r="B30" s="2"/>
      <c r="BA30" s="3"/>
    </row>
    <row r="31" spans="2:53" x14ac:dyDescent="0.2">
      <c r="B31" s="2"/>
      <c r="BA31" s="3"/>
    </row>
    <row r="32" spans="2:53" x14ac:dyDescent="0.2">
      <c r="B32" s="2"/>
      <c r="BA32" s="3"/>
    </row>
    <row r="33" spans="2:53" x14ac:dyDescent="0.2">
      <c r="B33" s="2"/>
      <c r="BA33" s="3"/>
    </row>
    <row r="34" spans="2:53" x14ac:dyDescent="0.2">
      <c r="B34" s="2"/>
      <c r="BA34" s="3"/>
    </row>
    <row r="35" spans="2:53" x14ac:dyDescent="0.2">
      <c r="B35" s="2"/>
      <c r="BA35" s="3"/>
    </row>
    <row r="36" spans="2:53" x14ac:dyDescent="0.2">
      <c r="B36" s="2"/>
      <c r="BA36" s="3"/>
    </row>
    <row r="37" spans="2:53" x14ac:dyDescent="0.2">
      <c r="B37" s="2"/>
      <c r="BA37" s="3"/>
    </row>
    <row r="38" spans="2:53" x14ac:dyDescent="0.2">
      <c r="B38" s="2"/>
      <c r="BA38" s="3"/>
    </row>
    <row r="39" spans="2:53" x14ac:dyDescent="0.2">
      <c r="B39" s="2"/>
      <c r="BA39" s="3"/>
    </row>
    <row r="40" spans="2:53" x14ac:dyDescent="0.2">
      <c r="B40" s="2"/>
      <c r="BA40" s="3"/>
    </row>
    <row r="41" spans="2:53" x14ac:dyDescent="0.2">
      <c r="B41" s="4"/>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6"/>
    </row>
  </sheetData>
  <mergeCells count="25">
    <mergeCell ref="B9:BA9"/>
    <mergeCell ref="B6:BA6"/>
    <mergeCell ref="B7:BA7"/>
    <mergeCell ref="B4:G4"/>
    <mergeCell ref="H4:L4"/>
    <mergeCell ref="M4:S4"/>
    <mergeCell ref="T4:AF4"/>
    <mergeCell ref="AJ4:AL4"/>
    <mergeCell ref="AM4:AR4"/>
    <mergeCell ref="B2:G2"/>
    <mergeCell ref="H2:L2"/>
    <mergeCell ref="M2:S2"/>
    <mergeCell ref="T2:AF2"/>
    <mergeCell ref="B3:G3"/>
    <mergeCell ref="H3:L3"/>
    <mergeCell ref="M3:S3"/>
    <mergeCell ref="T3:AF3"/>
    <mergeCell ref="AV2:BA2"/>
    <mergeCell ref="AV3:BA3"/>
    <mergeCell ref="AS4:AU4"/>
    <mergeCell ref="AV4:BA4"/>
    <mergeCell ref="AJ3:AL3"/>
    <mergeCell ref="AS2:AU2"/>
    <mergeCell ref="AS3:AU3"/>
    <mergeCell ref="AM3:AR3"/>
  </mergeCells>
  <phoneticPr fontId="3"/>
  <pageMargins left="0.39370078740157483" right="0.39370078740157483" top="0.59055118110236227" bottom="0.59055118110236227" header="0.31496062992125984" footer="0.31496062992125984"/>
  <pageSetup paperSize="9" orientation="landscape" r:id="rId1"/>
  <headerFooter>
    <oddFooter>&amp;P / &amp;N ページ</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A51"/>
  <sheetViews>
    <sheetView showGridLines="0" view="pageBreakPreview" zoomScaleNormal="100" zoomScaleSheetLayoutView="100" workbookViewId="0"/>
  </sheetViews>
  <sheetFormatPr defaultColWidth="2.453125" defaultRowHeight="13" x14ac:dyDescent="0.2"/>
  <cols>
    <col min="1" max="16384" width="2.453125" style="1"/>
  </cols>
  <sheetData>
    <row r="2" spans="2:5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5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53"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53" ht="13.5" customHeight="1" x14ac:dyDescent="0.2">
      <c r="AH5" s="13"/>
      <c r="AI5" s="13"/>
      <c r="AJ5" s="13"/>
      <c r="AK5" s="13"/>
      <c r="AL5" s="13"/>
      <c r="AM5" s="13"/>
      <c r="AN5" s="13"/>
      <c r="AO5" s="13"/>
      <c r="AP5" s="13"/>
      <c r="AQ5" s="13"/>
      <c r="AR5" s="13"/>
      <c r="AS5" s="13"/>
      <c r="AT5" s="13"/>
      <c r="AU5" s="13"/>
    </row>
    <row r="6" spans="2:53" x14ac:dyDescent="0.2">
      <c r="B6" s="128" t="s">
        <v>31</v>
      </c>
      <c r="C6" s="129"/>
      <c r="D6" s="129"/>
      <c r="E6" s="129"/>
      <c r="F6" s="129"/>
      <c r="G6" s="129"/>
      <c r="H6" s="129"/>
      <c r="I6" s="129"/>
      <c r="J6" s="129"/>
      <c r="K6" s="129"/>
      <c r="L6" s="129"/>
      <c r="M6" s="129"/>
      <c r="N6" s="129"/>
      <c r="O6" s="129"/>
      <c r="P6" s="129"/>
      <c r="Q6" s="129"/>
      <c r="R6" s="129"/>
      <c r="S6" s="129"/>
      <c r="T6" s="129"/>
      <c r="U6" s="129"/>
      <c r="V6" s="129"/>
      <c r="W6" s="129"/>
      <c r="X6" s="129"/>
      <c r="Y6" s="129"/>
      <c r="Z6" s="129"/>
      <c r="AA6" s="129"/>
      <c r="AB6" s="129"/>
      <c r="AC6" s="129"/>
      <c r="AD6" s="129"/>
      <c r="AE6" s="129"/>
      <c r="AF6" s="129"/>
      <c r="AG6" s="129"/>
      <c r="AH6" s="129"/>
      <c r="AI6" s="129"/>
      <c r="AJ6" s="129"/>
      <c r="AK6" s="129"/>
      <c r="AL6" s="129"/>
      <c r="AM6" s="129"/>
      <c r="AN6" s="129"/>
      <c r="AO6" s="129"/>
      <c r="AP6" s="129"/>
      <c r="AQ6" s="129"/>
      <c r="AR6" s="129"/>
      <c r="AS6" s="129"/>
      <c r="AT6" s="129"/>
      <c r="AU6" s="129"/>
      <c r="AV6" s="129"/>
      <c r="AW6" s="129"/>
      <c r="AX6" s="129"/>
      <c r="AY6" s="129"/>
      <c r="AZ6" s="129"/>
      <c r="BA6" s="130"/>
    </row>
    <row r="7" spans="2:53" x14ac:dyDescent="0.2">
      <c r="B7" s="137" t="s">
        <v>34</v>
      </c>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9"/>
    </row>
    <row r="9" spans="2:53" ht="13.5" customHeight="1" x14ac:dyDescent="0.2">
      <c r="B9" s="111" t="s">
        <v>33</v>
      </c>
      <c r="C9" s="111"/>
      <c r="D9" s="111"/>
      <c r="E9" s="111"/>
      <c r="F9" s="111"/>
      <c r="G9" s="111"/>
      <c r="H9" s="111"/>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row>
    <row r="10" spans="2:53" x14ac:dyDescent="0.2">
      <c r="B10" s="10"/>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2"/>
    </row>
    <row r="11" spans="2:53" x14ac:dyDescent="0.2">
      <c r="B11" s="2"/>
      <c r="BA11" s="3"/>
    </row>
    <row r="12" spans="2:53" x14ac:dyDescent="0.2">
      <c r="B12" s="2"/>
      <c r="BA12" s="3"/>
    </row>
    <row r="13" spans="2:53" ht="15" customHeight="1" x14ac:dyDescent="0.2">
      <c r="B13" s="2"/>
      <c r="BA13" s="3"/>
    </row>
    <row r="14" spans="2:53" x14ac:dyDescent="0.2">
      <c r="B14" s="2"/>
      <c r="BA14" s="3"/>
    </row>
    <row r="15" spans="2:53" x14ac:dyDescent="0.2">
      <c r="B15" s="2"/>
      <c r="BA15" s="3"/>
    </row>
    <row r="16" spans="2:53" x14ac:dyDescent="0.2">
      <c r="B16" s="2"/>
      <c r="BA16" s="3"/>
    </row>
    <row r="17" spans="2:53" x14ac:dyDescent="0.2">
      <c r="B17" s="2"/>
      <c r="BA17" s="3"/>
    </row>
    <row r="18" spans="2:53" x14ac:dyDescent="0.2">
      <c r="B18" s="2"/>
      <c r="BA18" s="3"/>
    </row>
    <row r="19" spans="2:53" x14ac:dyDescent="0.2">
      <c r="B19" s="2"/>
      <c r="BA19" s="3"/>
    </row>
    <row r="20" spans="2:53" x14ac:dyDescent="0.2">
      <c r="B20" s="2"/>
      <c r="BA20" s="3"/>
    </row>
    <row r="21" spans="2:53" x14ac:dyDescent="0.2">
      <c r="B21" s="2"/>
      <c r="BA21" s="3"/>
    </row>
    <row r="22" spans="2:53" x14ac:dyDescent="0.2">
      <c r="B22" s="2"/>
      <c r="BA22" s="3"/>
    </row>
    <row r="23" spans="2:53" x14ac:dyDescent="0.2">
      <c r="B23" s="2"/>
      <c r="BA23" s="3"/>
    </row>
    <row r="24" spans="2:53" x14ac:dyDescent="0.2">
      <c r="B24" s="2"/>
      <c r="BA24" s="3"/>
    </row>
    <row r="25" spans="2:53" x14ac:dyDescent="0.2">
      <c r="B25" s="2"/>
      <c r="BA25" s="3"/>
    </row>
    <row r="26" spans="2:53" x14ac:dyDescent="0.2">
      <c r="B26" s="2"/>
      <c r="BA26" s="3"/>
    </row>
    <row r="27" spans="2:53" x14ac:dyDescent="0.2">
      <c r="B27" s="2"/>
      <c r="BA27" s="3"/>
    </row>
    <row r="28" spans="2:53" x14ac:dyDescent="0.2">
      <c r="B28" s="2"/>
      <c r="BA28" s="3"/>
    </row>
    <row r="29" spans="2:53" x14ac:dyDescent="0.2">
      <c r="B29" s="2"/>
      <c r="BA29" s="3"/>
    </row>
    <row r="30" spans="2:53" x14ac:dyDescent="0.2">
      <c r="B30" s="2"/>
      <c r="BA30" s="3"/>
    </row>
    <row r="31" spans="2:53" x14ac:dyDescent="0.2">
      <c r="B31" s="2"/>
      <c r="BA31" s="3"/>
    </row>
    <row r="32" spans="2:53" x14ac:dyDescent="0.2">
      <c r="B32" s="2"/>
      <c r="BA32" s="3"/>
    </row>
    <row r="33" spans="2:53" x14ac:dyDescent="0.2">
      <c r="B33" s="2"/>
      <c r="BA33" s="3"/>
    </row>
    <row r="34" spans="2:53" x14ac:dyDescent="0.2">
      <c r="B34" s="2"/>
      <c r="BA34" s="3"/>
    </row>
    <row r="35" spans="2:53" x14ac:dyDescent="0.2">
      <c r="B35" s="2"/>
      <c r="BA35" s="3"/>
    </row>
    <row r="36" spans="2:53" x14ac:dyDescent="0.2">
      <c r="B36" s="2"/>
      <c r="BA36" s="3"/>
    </row>
    <row r="37" spans="2:53" x14ac:dyDescent="0.2">
      <c r="B37" s="2"/>
      <c r="BA37" s="3"/>
    </row>
    <row r="38" spans="2:53" x14ac:dyDescent="0.2">
      <c r="B38" s="2"/>
      <c r="BA38" s="3"/>
    </row>
    <row r="39" spans="2:53" x14ac:dyDescent="0.2">
      <c r="B39" s="2"/>
      <c r="BA39" s="3"/>
    </row>
    <row r="40" spans="2:53" x14ac:dyDescent="0.2">
      <c r="B40" s="2"/>
      <c r="BA40" s="3"/>
    </row>
    <row r="41" spans="2:53" x14ac:dyDescent="0.2">
      <c r="B41" s="2"/>
      <c r="BA41" s="3"/>
    </row>
    <row r="42" spans="2:53" x14ac:dyDescent="0.2">
      <c r="B42" s="2"/>
      <c r="BA42" s="3"/>
    </row>
    <row r="43" spans="2:53" x14ac:dyDescent="0.2">
      <c r="B43" s="2"/>
      <c r="BA43" s="3"/>
    </row>
    <row r="44" spans="2:53" x14ac:dyDescent="0.2">
      <c r="B44" s="2"/>
      <c r="BA44" s="3"/>
    </row>
    <row r="45" spans="2:53" x14ac:dyDescent="0.2">
      <c r="B45" s="2"/>
      <c r="BA45" s="3"/>
    </row>
    <row r="46" spans="2:53" x14ac:dyDescent="0.2">
      <c r="B46" s="2"/>
      <c r="BA46" s="3"/>
    </row>
    <row r="47" spans="2:53" x14ac:dyDescent="0.2">
      <c r="B47" s="2"/>
      <c r="BA47" s="3"/>
    </row>
    <row r="48" spans="2:53" x14ac:dyDescent="0.2">
      <c r="B48" s="2"/>
      <c r="BA48" s="3"/>
    </row>
    <row r="49" spans="2:53" x14ac:dyDescent="0.2">
      <c r="B49" s="2"/>
      <c r="BA49" s="3"/>
    </row>
    <row r="50" spans="2:53" x14ac:dyDescent="0.2">
      <c r="B50" s="2"/>
      <c r="BA50" s="3"/>
    </row>
    <row r="51" spans="2:53" x14ac:dyDescent="0.2">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6"/>
    </row>
  </sheetData>
  <mergeCells count="25">
    <mergeCell ref="B6:BA6"/>
    <mergeCell ref="T2:AF2"/>
    <mergeCell ref="AS2:AU2"/>
    <mergeCell ref="AV2:BA2"/>
    <mergeCell ref="B3:G3"/>
    <mergeCell ref="H3:L3"/>
    <mergeCell ref="B2:G2"/>
    <mergeCell ref="H2:L2"/>
    <mergeCell ref="M2:S2"/>
    <mergeCell ref="B7:BA7"/>
    <mergeCell ref="B9:BA9"/>
    <mergeCell ref="M3:S3"/>
    <mergeCell ref="T3:AF3"/>
    <mergeCell ref="AJ3:AL3"/>
    <mergeCell ref="AM3:AR3"/>
    <mergeCell ref="AS3:AU3"/>
    <mergeCell ref="AM4:AR4"/>
    <mergeCell ref="AS4:AU4"/>
    <mergeCell ref="AV4:BA4"/>
    <mergeCell ref="T4:AF4"/>
    <mergeCell ref="AJ4:AL4"/>
    <mergeCell ref="B4:G4"/>
    <mergeCell ref="H4:L4"/>
    <mergeCell ref="M4:S4"/>
    <mergeCell ref="AV3:BA3"/>
  </mergeCells>
  <phoneticPr fontId="3"/>
  <pageMargins left="0.39370078740157483" right="0.39370078740157483" top="0.59055118110236227" bottom="0.59055118110236227" header="0.31496062992125984" footer="0.31496062992125984"/>
  <pageSetup paperSize="9" orientation="landscape" r:id="rId1"/>
  <headerFoot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BA41"/>
  <sheetViews>
    <sheetView showGridLines="0" view="pageBreakPreview" zoomScaleNormal="100" zoomScaleSheetLayoutView="100" workbookViewId="0"/>
  </sheetViews>
  <sheetFormatPr defaultColWidth="2.453125" defaultRowHeight="13" x14ac:dyDescent="0.2"/>
  <cols>
    <col min="1" max="16384" width="2.453125" style="1"/>
  </cols>
  <sheetData>
    <row r="2" spans="2:5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5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53"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53" ht="13.5" customHeight="1" x14ac:dyDescent="0.2">
      <c r="AH5" s="13"/>
      <c r="AI5" s="13"/>
      <c r="AJ5" s="13"/>
      <c r="AK5" s="13"/>
      <c r="AL5" s="13"/>
      <c r="AM5" s="13"/>
      <c r="AN5" s="13"/>
      <c r="AO5" s="13"/>
      <c r="AP5" s="13"/>
      <c r="AQ5" s="13"/>
      <c r="AR5" s="13"/>
      <c r="AS5" s="13"/>
      <c r="AT5" s="13"/>
      <c r="AU5" s="13"/>
    </row>
    <row r="6" spans="2:53" x14ac:dyDescent="0.2">
      <c r="B6" s="111" t="s">
        <v>31</v>
      </c>
      <c r="C6" s="111"/>
      <c r="D6" s="111"/>
      <c r="E6" s="111"/>
      <c r="F6" s="111"/>
      <c r="G6" s="111"/>
      <c r="H6" s="111"/>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row>
    <row r="7" spans="2:53" x14ac:dyDescent="0.2">
      <c r="B7" s="137" t="s">
        <v>35</v>
      </c>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9"/>
    </row>
    <row r="9" spans="2:53" ht="13.5" customHeight="1" x14ac:dyDescent="0.2">
      <c r="B9" s="111" t="s">
        <v>33</v>
      </c>
      <c r="C9" s="111"/>
      <c r="D9" s="111"/>
      <c r="E9" s="111"/>
      <c r="F9" s="111"/>
      <c r="G9" s="111"/>
      <c r="H9" s="111"/>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row>
    <row r="10" spans="2:53" x14ac:dyDescent="0.2">
      <c r="B10" s="10"/>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2"/>
    </row>
    <row r="11" spans="2:53" x14ac:dyDescent="0.2">
      <c r="B11" s="2"/>
      <c r="BA11" s="3"/>
    </row>
    <row r="12" spans="2:53" x14ac:dyDescent="0.2">
      <c r="B12" s="2"/>
      <c r="BA12" s="3"/>
    </row>
    <row r="13" spans="2:53" ht="15" customHeight="1" x14ac:dyDescent="0.2">
      <c r="B13" s="2"/>
      <c r="BA13" s="3"/>
    </row>
    <row r="14" spans="2:53" x14ac:dyDescent="0.2">
      <c r="B14" s="2"/>
      <c r="BA14" s="3"/>
    </row>
    <row r="15" spans="2:53" x14ac:dyDescent="0.2">
      <c r="B15" s="2"/>
      <c r="BA15" s="3"/>
    </row>
    <row r="16" spans="2:53" x14ac:dyDescent="0.2">
      <c r="B16" s="2"/>
      <c r="BA16" s="3"/>
    </row>
    <row r="17" spans="2:53" x14ac:dyDescent="0.2">
      <c r="B17" s="2"/>
      <c r="BA17" s="3"/>
    </row>
    <row r="18" spans="2:53" x14ac:dyDescent="0.2">
      <c r="B18" s="2"/>
      <c r="BA18" s="3"/>
    </row>
    <row r="19" spans="2:53" x14ac:dyDescent="0.2">
      <c r="B19" s="2"/>
      <c r="BA19" s="3"/>
    </row>
    <row r="20" spans="2:53" x14ac:dyDescent="0.2">
      <c r="B20" s="2"/>
      <c r="BA20" s="3"/>
    </row>
    <row r="21" spans="2:53" x14ac:dyDescent="0.2">
      <c r="B21" s="2"/>
      <c r="BA21" s="3"/>
    </row>
    <row r="22" spans="2:53" x14ac:dyDescent="0.2">
      <c r="B22" s="2"/>
      <c r="BA22" s="3"/>
    </row>
    <row r="23" spans="2:53" x14ac:dyDescent="0.2">
      <c r="B23" s="2"/>
      <c r="BA23" s="3"/>
    </row>
    <row r="24" spans="2:53" x14ac:dyDescent="0.2">
      <c r="B24" s="2"/>
      <c r="BA24" s="3"/>
    </row>
    <row r="25" spans="2:53" x14ac:dyDescent="0.2">
      <c r="B25" s="2"/>
      <c r="BA25" s="3"/>
    </row>
    <row r="26" spans="2:53" x14ac:dyDescent="0.2">
      <c r="B26" s="2"/>
      <c r="BA26" s="3"/>
    </row>
    <row r="27" spans="2:53" x14ac:dyDescent="0.2">
      <c r="B27" s="2"/>
      <c r="BA27" s="3"/>
    </row>
    <row r="28" spans="2:53" x14ac:dyDescent="0.2">
      <c r="B28" s="2"/>
      <c r="BA28" s="3"/>
    </row>
    <row r="29" spans="2:53" x14ac:dyDescent="0.2">
      <c r="B29" s="2"/>
      <c r="BA29" s="3"/>
    </row>
    <row r="30" spans="2:53" x14ac:dyDescent="0.2">
      <c r="B30" s="2"/>
      <c r="BA30" s="3"/>
    </row>
    <row r="31" spans="2:53" x14ac:dyDescent="0.2">
      <c r="B31" s="2"/>
      <c r="BA31" s="3"/>
    </row>
    <row r="32" spans="2:53" x14ac:dyDescent="0.2">
      <c r="B32" s="2"/>
      <c r="BA32" s="3"/>
    </row>
    <row r="33" spans="2:53" x14ac:dyDescent="0.2">
      <c r="B33" s="2"/>
      <c r="BA33" s="3"/>
    </row>
    <row r="34" spans="2:53" x14ac:dyDescent="0.2">
      <c r="B34" s="2"/>
      <c r="BA34" s="3"/>
    </row>
    <row r="35" spans="2:53" x14ac:dyDescent="0.2">
      <c r="B35" s="2"/>
      <c r="BA35" s="3"/>
    </row>
    <row r="36" spans="2:53" x14ac:dyDescent="0.2">
      <c r="B36" s="2"/>
      <c r="BA36" s="3"/>
    </row>
    <row r="37" spans="2:53" x14ac:dyDescent="0.2">
      <c r="B37" s="2"/>
      <c r="BA37" s="3"/>
    </row>
    <row r="38" spans="2:53" x14ac:dyDescent="0.2">
      <c r="B38" s="2"/>
      <c r="BA38" s="3"/>
    </row>
    <row r="39" spans="2:53" x14ac:dyDescent="0.2">
      <c r="B39" s="2"/>
      <c r="BA39" s="3"/>
    </row>
    <row r="40" spans="2:53" x14ac:dyDescent="0.2">
      <c r="B40" s="2"/>
      <c r="BA40" s="3"/>
    </row>
    <row r="41" spans="2:53" x14ac:dyDescent="0.2">
      <c r="B41" s="4"/>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6"/>
    </row>
  </sheetData>
  <mergeCells count="25">
    <mergeCell ref="AS2:AU2"/>
    <mergeCell ref="AM4:AR4"/>
    <mergeCell ref="AS4:AU4"/>
    <mergeCell ref="AV4:BA4"/>
    <mergeCell ref="B4:G4"/>
    <mergeCell ref="H4:L4"/>
    <mergeCell ref="M4:S4"/>
    <mergeCell ref="T4:AF4"/>
    <mergeCell ref="AJ4:AL4"/>
    <mergeCell ref="B6:BA6"/>
    <mergeCell ref="B9:BA9"/>
    <mergeCell ref="B7:BA7"/>
    <mergeCell ref="AV2:BA2"/>
    <mergeCell ref="B3:G3"/>
    <mergeCell ref="H3:L3"/>
    <mergeCell ref="M3:S3"/>
    <mergeCell ref="T3:AF3"/>
    <mergeCell ref="AJ3:AL3"/>
    <mergeCell ref="AM3:AR3"/>
    <mergeCell ref="AS3:AU3"/>
    <mergeCell ref="AV3:BA3"/>
    <mergeCell ref="B2:G2"/>
    <mergeCell ref="H2:L2"/>
    <mergeCell ref="M2:S2"/>
    <mergeCell ref="T2:AF2"/>
  </mergeCells>
  <phoneticPr fontId="3"/>
  <pageMargins left="0.39370078740157483" right="0.39370078740157483" top="0.59055118110236227" bottom="0.59055118110236227" header="0.31496062992125984" footer="0.31496062992125984"/>
  <pageSetup paperSize="9" scale="75" orientation="landscape" r:id="rId1"/>
  <headerFoot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A41"/>
  <sheetViews>
    <sheetView showGridLines="0" view="pageBreakPreview" zoomScale="115" zoomScaleNormal="100" zoomScaleSheetLayoutView="115" workbookViewId="0"/>
  </sheetViews>
  <sheetFormatPr defaultColWidth="2.453125" defaultRowHeight="13" x14ac:dyDescent="0.2"/>
  <cols>
    <col min="1" max="16384" width="2.453125" style="1"/>
  </cols>
  <sheetData>
    <row r="2" spans="2:5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5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53"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53" ht="13.5" customHeight="1" x14ac:dyDescent="0.2">
      <c r="AH5" s="13"/>
      <c r="AI5" s="13"/>
      <c r="AJ5" s="13"/>
      <c r="AK5" s="13"/>
      <c r="AL5" s="13"/>
      <c r="AM5" s="13"/>
      <c r="AN5" s="13"/>
      <c r="AO5" s="13"/>
      <c r="AP5" s="13"/>
      <c r="AQ5" s="13"/>
      <c r="AR5" s="13"/>
      <c r="AS5" s="13"/>
      <c r="AT5" s="13"/>
      <c r="AU5" s="13"/>
    </row>
    <row r="6" spans="2:53" x14ac:dyDescent="0.2">
      <c r="B6" s="111" t="s">
        <v>31</v>
      </c>
      <c r="C6" s="111"/>
      <c r="D6" s="111"/>
      <c r="E6" s="111"/>
      <c r="F6" s="111"/>
      <c r="G6" s="111"/>
      <c r="H6" s="111"/>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row>
    <row r="7" spans="2:53" x14ac:dyDescent="0.2">
      <c r="B7" s="137" t="s">
        <v>36</v>
      </c>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9"/>
    </row>
    <row r="9" spans="2:53" ht="13.5" customHeight="1" x14ac:dyDescent="0.2">
      <c r="B9" s="111" t="s">
        <v>33</v>
      </c>
      <c r="C9" s="111"/>
      <c r="D9" s="111"/>
      <c r="E9" s="111"/>
      <c r="F9" s="111"/>
      <c r="G9" s="111"/>
      <c r="H9" s="111"/>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row>
    <row r="10" spans="2:53" x14ac:dyDescent="0.2">
      <c r="B10" s="10"/>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2"/>
    </row>
    <row r="11" spans="2:53" x14ac:dyDescent="0.2">
      <c r="B11" s="2"/>
      <c r="BA11" s="3"/>
    </row>
    <row r="12" spans="2:53" x14ac:dyDescent="0.2">
      <c r="B12" s="2"/>
      <c r="BA12" s="3"/>
    </row>
    <row r="13" spans="2:53" ht="15" customHeight="1" x14ac:dyDescent="0.2">
      <c r="B13" s="2"/>
      <c r="BA13" s="3"/>
    </row>
    <row r="14" spans="2:53" x14ac:dyDescent="0.2">
      <c r="B14" s="2"/>
      <c r="BA14" s="3"/>
    </row>
    <row r="15" spans="2:53" x14ac:dyDescent="0.2">
      <c r="B15" s="2"/>
      <c r="BA15" s="3"/>
    </row>
    <row r="16" spans="2:53" x14ac:dyDescent="0.2">
      <c r="B16" s="2"/>
      <c r="BA16" s="3"/>
    </row>
    <row r="17" spans="2:53" x14ac:dyDescent="0.2">
      <c r="B17" s="2"/>
      <c r="BA17" s="3"/>
    </row>
    <row r="18" spans="2:53" x14ac:dyDescent="0.2">
      <c r="B18" s="2"/>
      <c r="BA18" s="3"/>
    </row>
    <row r="19" spans="2:53" x14ac:dyDescent="0.2">
      <c r="B19" s="2"/>
      <c r="BA19" s="3"/>
    </row>
    <row r="20" spans="2:53" x14ac:dyDescent="0.2">
      <c r="B20" s="2"/>
      <c r="BA20" s="3"/>
    </row>
    <row r="21" spans="2:53" x14ac:dyDescent="0.2">
      <c r="B21" s="2"/>
      <c r="BA21" s="3"/>
    </row>
    <row r="22" spans="2:53" x14ac:dyDescent="0.2">
      <c r="B22" s="2"/>
      <c r="BA22" s="3"/>
    </row>
    <row r="23" spans="2:53" x14ac:dyDescent="0.2">
      <c r="B23" s="2"/>
      <c r="BA23" s="3"/>
    </row>
    <row r="24" spans="2:53" x14ac:dyDescent="0.2">
      <c r="B24" s="2"/>
      <c r="BA24" s="3"/>
    </row>
    <row r="25" spans="2:53" x14ac:dyDescent="0.2">
      <c r="B25" s="2"/>
      <c r="BA25" s="3"/>
    </row>
    <row r="26" spans="2:53" x14ac:dyDescent="0.2">
      <c r="B26" s="2"/>
      <c r="BA26" s="3"/>
    </row>
    <row r="27" spans="2:53" x14ac:dyDescent="0.2">
      <c r="B27" s="2"/>
      <c r="BA27" s="3"/>
    </row>
    <row r="28" spans="2:53" x14ac:dyDescent="0.2">
      <c r="B28" s="2"/>
      <c r="BA28" s="3"/>
    </row>
    <row r="29" spans="2:53" x14ac:dyDescent="0.2">
      <c r="B29" s="2"/>
      <c r="BA29" s="3"/>
    </row>
    <row r="30" spans="2:53" x14ac:dyDescent="0.2">
      <c r="B30" s="2"/>
      <c r="BA30" s="3"/>
    </row>
    <row r="31" spans="2:53" x14ac:dyDescent="0.2">
      <c r="B31" s="2"/>
      <c r="BA31" s="3"/>
    </row>
    <row r="32" spans="2:53" x14ac:dyDescent="0.2">
      <c r="B32" s="2"/>
      <c r="BA32" s="3"/>
    </row>
    <row r="33" spans="2:53" x14ac:dyDescent="0.2">
      <c r="B33" s="2"/>
      <c r="BA33" s="3"/>
    </row>
    <row r="34" spans="2:53" x14ac:dyDescent="0.2">
      <c r="B34" s="2"/>
      <c r="BA34" s="3"/>
    </row>
    <row r="35" spans="2:53" x14ac:dyDescent="0.2">
      <c r="B35" s="2"/>
      <c r="BA35" s="3"/>
    </row>
    <row r="36" spans="2:53" x14ac:dyDescent="0.2">
      <c r="B36" s="2"/>
      <c r="BA36" s="3"/>
    </row>
    <row r="37" spans="2:53" x14ac:dyDescent="0.2">
      <c r="B37" s="2"/>
      <c r="BA37" s="3"/>
    </row>
    <row r="38" spans="2:53" x14ac:dyDescent="0.2">
      <c r="B38" s="2"/>
      <c r="BA38" s="3"/>
    </row>
    <row r="39" spans="2:53" x14ac:dyDescent="0.2">
      <c r="B39" s="2"/>
      <c r="BA39" s="3"/>
    </row>
    <row r="40" spans="2:53" x14ac:dyDescent="0.2">
      <c r="B40" s="2"/>
      <c r="BA40" s="3"/>
    </row>
    <row r="41" spans="2:53" x14ac:dyDescent="0.2">
      <c r="B41" s="4"/>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6"/>
    </row>
  </sheetData>
  <mergeCells count="25">
    <mergeCell ref="AS2:AU2"/>
    <mergeCell ref="AM4:AR4"/>
    <mergeCell ref="AS4:AU4"/>
    <mergeCell ref="AV4:BA4"/>
    <mergeCell ref="B4:G4"/>
    <mergeCell ref="H4:L4"/>
    <mergeCell ref="M4:S4"/>
    <mergeCell ref="T4:AF4"/>
    <mergeCell ref="AJ4:AL4"/>
    <mergeCell ref="B6:BA6"/>
    <mergeCell ref="B9:BA9"/>
    <mergeCell ref="B7:BA7"/>
    <mergeCell ref="AV2:BA2"/>
    <mergeCell ref="B3:G3"/>
    <mergeCell ref="H3:L3"/>
    <mergeCell ref="M3:S3"/>
    <mergeCell ref="T3:AF3"/>
    <mergeCell ref="AJ3:AL3"/>
    <mergeCell ref="AM3:AR3"/>
    <mergeCell ref="AS3:AU3"/>
    <mergeCell ref="AV3:BA3"/>
    <mergeCell ref="B2:G2"/>
    <mergeCell ref="H2:L2"/>
    <mergeCell ref="M2:S2"/>
    <mergeCell ref="T2:AF2"/>
  </mergeCells>
  <phoneticPr fontId="3"/>
  <pageMargins left="0.39370078740157483" right="0.39370078740157483" top="0.59055118110236227" bottom="0.59055118110236227" header="0.31496062992125984" footer="0.31496062992125984"/>
  <pageSetup paperSize="9" scale="75" orientation="landscape" r:id="rId1"/>
  <headerFooter>
    <oddFooter>&amp;P / &amp;N ページ</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R53"/>
  <sheetViews>
    <sheetView showGridLines="0" view="pageBreakPreview" zoomScaleNormal="100" zoomScaleSheetLayoutView="100" workbookViewId="0">
      <pane xSplit="5" ySplit="11" topLeftCell="F12" activePane="bottomRight" state="frozen"/>
      <selection pane="topRight" activeCell="F1" sqref="F1"/>
      <selection pane="bottomLeft" activeCell="A12" sqref="A12"/>
      <selection pane="bottomRight" activeCell="L23" sqref="L23"/>
    </sheetView>
  </sheetViews>
  <sheetFormatPr defaultColWidth="2.453125" defaultRowHeight="13" x14ac:dyDescent="0.2"/>
  <cols>
    <col min="1" max="1" width="2.453125" style="9"/>
    <col min="2" max="2" width="6.81640625" style="9" customWidth="1"/>
    <col min="3" max="3" width="11.36328125" style="9" bestFit="1" customWidth="1"/>
    <col min="4" max="4" width="15.7265625" style="9" bestFit="1" customWidth="1"/>
    <col min="5" max="5" width="17.90625" style="9" bestFit="1" customWidth="1"/>
    <col min="6" max="9" width="6.1796875" style="9" customWidth="1"/>
    <col min="10" max="10" width="12.81640625" style="9" bestFit="1" customWidth="1"/>
    <col min="11" max="11" width="9.81640625" style="9" bestFit="1" customWidth="1"/>
    <col min="12" max="12" width="10.26953125" style="9" bestFit="1" customWidth="1"/>
    <col min="13" max="13" width="20" style="9" bestFit="1" customWidth="1"/>
    <col min="14" max="14" width="16.6328125" style="25" customWidth="1"/>
    <col min="15" max="15" width="7.453125" style="9" bestFit="1" customWidth="1"/>
    <col min="16" max="16" width="10.54296875" style="9" bestFit="1" customWidth="1"/>
    <col min="17" max="17" width="2.453125" style="9"/>
    <col min="18" max="18" width="9.26953125" style="9" bestFit="1" customWidth="1"/>
    <col min="19" max="16384" width="2.453125" style="9"/>
  </cols>
  <sheetData>
    <row r="1" spans="2:16" s="1" customFormat="1" x14ac:dyDescent="0.2">
      <c r="N1" s="23"/>
    </row>
    <row r="2" spans="2:16" s="1" customFormat="1" x14ac:dyDescent="0.2">
      <c r="B2" s="128" t="s">
        <v>1</v>
      </c>
      <c r="C2" s="130"/>
      <c r="D2" s="62" t="str">
        <f>表紙!H5</f>
        <v>BSPS</v>
      </c>
      <c r="E2" s="58" t="s">
        <v>2</v>
      </c>
      <c r="F2" s="112" t="str">
        <f>表紙!T5</f>
        <v>バトルポータルシュミレーター</v>
      </c>
      <c r="G2" s="112"/>
      <c r="H2" s="112"/>
      <c r="I2" s="112"/>
      <c r="J2" s="75"/>
      <c r="K2" s="76"/>
      <c r="L2" s="77"/>
      <c r="M2" s="58" t="s">
        <v>15</v>
      </c>
      <c r="N2" s="61">
        <f>表紙!N14</f>
        <v>1</v>
      </c>
    </row>
    <row r="3" spans="2:16" s="1" customFormat="1" x14ac:dyDescent="0.2">
      <c r="B3" s="128" t="s">
        <v>4</v>
      </c>
      <c r="C3" s="130"/>
      <c r="D3" s="62" t="str">
        <f>表紙!H6</f>
        <v>PK</v>
      </c>
      <c r="E3" s="58" t="s">
        <v>6</v>
      </c>
      <c r="F3" s="112" t="str">
        <f>表紙!T6</f>
        <v>ポータル</v>
      </c>
      <c r="G3" s="112"/>
      <c r="H3" s="112"/>
      <c r="I3" s="112"/>
      <c r="J3" s="75"/>
      <c r="K3" s="89" t="s">
        <v>11</v>
      </c>
      <c r="L3" s="167" t="str">
        <f>表紙!N10</f>
        <v>須賀</v>
      </c>
      <c r="M3" s="58" t="s">
        <v>13</v>
      </c>
      <c r="N3" s="59" t="str">
        <f>表紙!N12</f>
        <v>須賀</v>
      </c>
    </row>
    <row r="4" spans="2:16" s="1" customFormat="1" x14ac:dyDescent="0.2">
      <c r="B4" s="128" t="s">
        <v>8</v>
      </c>
      <c r="C4" s="130"/>
      <c r="D4" s="62" t="str">
        <f>表紙!H7</f>
        <v>BSPSFRPK01</v>
      </c>
      <c r="E4" s="58" t="s">
        <v>9</v>
      </c>
      <c r="F4" s="112" t="str">
        <f>表紙!T7</f>
        <v>共通エリア</v>
      </c>
      <c r="G4" s="112"/>
      <c r="H4" s="112"/>
      <c r="I4" s="112"/>
      <c r="J4" s="75"/>
      <c r="K4" s="89" t="s">
        <v>12</v>
      </c>
      <c r="L4" s="168">
        <f>表紙!N11</f>
        <v>44471</v>
      </c>
      <c r="M4" s="58" t="s">
        <v>13</v>
      </c>
      <c r="N4" s="60">
        <f>表紙!N13</f>
        <v>44471</v>
      </c>
    </row>
    <row r="5" spans="2:16" s="1" customFormat="1" x14ac:dyDescent="0.2">
      <c r="N5" s="24"/>
      <c r="O5" s="13"/>
    </row>
    <row r="6" spans="2:16" s="1" customFormat="1" x14ac:dyDescent="0.2">
      <c r="B6" s="111" t="s">
        <v>37</v>
      </c>
      <c r="C6" s="111"/>
      <c r="D6" s="111"/>
      <c r="E6" s="111"/>
      <c r="F6" s="111"/>
      <c r="G6" s="111"/>
      <c r="H6" s="111"/>
      <c r="I6" s="111"/>
      <c r="J6" s="111"/>
      <c r="K6" s="111"/>
      <c r="L6" s="111"/>
      <c r="M6" s="111"/>
      <c r="N6" s="111"/>
      <c r="O6" s="111"/>
      <c r="P6" s="111"/>
    </row>
    <row r="7" spans="2:16" s="1" customFormat="1" x14ac:dyDescent="0.2">
      <c r="B7" s="137" t="s">
        <v>38</v>
      </c>
      <c r="C7" s="138"/>
      <c r="D7" s="138"/>
      <c r="E7" s="138"/>
      <c r="F7" s="138"/>
      <c r="G7" s="138"/>
      <c r="H7" s="138"/>
      <c r="I7" s="138"/>
      <c r="J7" s="138"/>
      <c r="K7" s="138"/>
      <c r="L7" s="138"/>
      <c r="M7" s="138"/>
      <c r="N7" s="138"/>
      <c r="O7" s="138"/>
      <c r="P7" s="138"/>
    </row>
    <row r="8" spans="2:16" s="1" customFormat="1" x14ac:dyDescent="0.2">
      <c r="B8" s="18"/>
      <c r="C8" s="18"/>
      <c r="D8" s="18"/>
      <c r="E8" s="18"/>
      <c r="F8" s="18"/>
      <c r="G8" s="18"/>
      <c r="H8" s="18"/>
      <c r="I8" s="18"/>
      <c r="J8" s="18"/>
      <c r="K8" s="18"/>
      <c r="L8" s="18"/>
      <c r="M8" s="18"/>
      <c r="N8" s="22"/>
      <c r="O8" s="18"/>
      <c r="P8" s="18"/>
    </row>
    <row r="10" spans="2:16" s="15" customFormat="1" x14ac:dyDescent="0.2">
      <c r="B10" s="141" t="s">
        <v>39</v>
      </c>
      <c r="C10" s="146" t="s">
        <v>303</v>
      </c>
      <c r="D10" s="146"/>
      <c r="E10" s="141" t="s">
        <v>41</v>
      </c>
      <c r="F10" s="141" t="s">
        <v>42</v>
      </c>
      <c r="G10" s="141" t="s">
        <v>43</v>
      </c>
      <c r="H10" s="147" t="s">
        <v>44</v>
      </c>
      <c r="I10" s="147"/>
      <c r="J10" s="147"/>
      <c r="K10" s="147"/>
      <c r="L10" s="147"/>
      <c r="M10" s="143" t="s">
        <v>45</v>
      </c>
      <c r="N10" s="144"/>
      <c r="O10" s="141" t="s">
        <v>46</v>
      </c>
      <c r="P10" s="141"/>
    </row>
    <row r="11" spans="2:16" s="15" customFormat="1" ht="78" x14ac:dyDescent="0.2">
      <c r="B11" s="141"/>
      <c r="C11" s="146"/>
      <c r="D11" s="146"/>
      <c r="E11" s="141"/>
      <c r="F11" s="141"/>
      <c r="G11" s="141"/>
      <c r="H11" s="67" t="s">
        <v>304</v>
      </c>
      <c r="I11" s="67" t="s">
        <v>47</v>
      </c>
      <c r="J11" s="67" t="s">
        <v>48</v>
      </c>
      <c r="K11" s="67" t="s">
        <v>49</v>
      </c>
      <c r="L11" s="67" t="s">
        <v>50</v>
      </c>
      <c r="M11" s="85" t="s">
        <v>51</v>
      </c>
      <c r="N11" s="85" t="s">
        <v>52</v>
      </c>
      <c r="O11" s="141"/>
      <c r="P11" s="141"/>
    </row>
    <row r="12" spans="2:16" x14ac:dyDescent="0.2">
      <c r="B12" s="71" t="s">
        <v>53</v>
      </c>
      <c r="C12" s="145" t="s">
        <v>54</v>
      </c>
      <c r="D12" s="145"/>
      <c r="E12" s="65" t="s">
        <v>55</v>
      </c>
      <c r="F12" s="66" t="s">
        <v>55</v>
      </c>
      <c r="G12" s="66" t="s">
        <v>55</v>
      </c>
      <c r="H12" s="66" t="s">
        <v>55</v>
      </c>
      <c r="I12" s="66" t="s">
        <v>55</v>
      </c>
      <c r="J12" s="66" t="s">
        <v>55</v>
      </c>
      <c r="K12" s="66" t="s">
        <v>55</v>
      </c>
      <c r="L12" s="66" t="s">
        <v>55</v>
      </c>
      <c r="M12" s="87" t="s">
        <v>55</v>
      </c>
      <c r="N12" s="88" t="s">
        <v>55</v>
      </c>
      <c r="O12" s="145" t="s">
        <v>55</v>
      </c>
      <c r="P12" s="145"/>
    </row>
    <row r="13" spans="2:16" x14ac:dyDescent="0.2">
      <c r="B13" s="70" t="s">
        <v>56</v>
      </c>
      <c r="C13" s="140" t="s">
        <v>57</v>
      </c>
      <c r="D13" s="140"/>
      <c r="E13" s="64" t="s">
        <v>58</v>
      </c>
      <c r="F13" s="59" t="s">
        <v>55</v>
      </c>
      <c r="G13" s="59" t="s">
        <v>55</v>
      </c>
      <c r="H13" s="59" t="s">
        <v>55</v>
      </c>
      <c r="I13" s="59" t="s">
        <v>55</v>
      </c>
      <c r="J13" s="59" t="s">
        <v>55</v>
      </c>
      <c r="K13" s="59" t="s">
        <v>55</v>
      </c>
      <c r="L13" s="59" t="s">
        <v>55</v>
      </c>
      <c r="M13" s="84" t="s">
        <v>55</v>
      </c>
      <c r="N13" s="86" t="s">
        <v>55</v>
      </c>
      <c r="O13" s="140" t="s">
        <v>55</v>
      </c>
      <c r="P13" s="140"/>
    </row>
    <row r="14" spans="2:16" x14ac:dyDescent="0.2">
      <c r="B14" s="70" t="s">
        <v>59</v>
      </c>
      <c r="C14" s="140" t="s">
        <v>60</v>
      </c>
      <c r="D14" s="140"/>
      <c r="E14" s="64" t="s">
        <v>61</v>
      </c>
      <c r="F14" s="59" t="s">
        <v>55</v>
      </c>
      <c r="G14" s="59" t="s">
        <v>55</v>
      </c>
      <c r="H14" s="59" t="s">
        <v>55</v>
      </c>
      <c r="I14" s="59" t="s">
        <v>55</v>
      </c>
      <c r="J14" s="59" t="s">
        <v>55</v>
      </c>
      <c r="K14" s="59" t="s">
        <v>55</v>
      </c>
      <c r="L14" s="59" t="s">
        <v>55</v>
      </c>
      <c r="M14" s="84" t="s">
        <v>55</v>
      </c>
      <c r="N14" s="86" t="s">
        <v>55</v>
      </c>
      <c r="O14" s="142" t="s">
        <v>62</v>
      </c>
      <c r="P14" s="142"/>
    </row>
    <row r="15" spans="2:16" ht="39" x14ac:dyDescent="0.2">
      <c r="B15" s="70" t="s">
        <v>63</v>
      </c>
      <c r="C15" s="140" t="s">
        <v>64</v>
      </c>
      <c r="D15" s="140"/>
      <c r="E15" s="64" t="s">
        <v>61</v>
      </c>
      <c r="F15" s="59" t="s">
        <v>55</v>
      </c>
      <c r="G15" s="59" t="s">
        <v>55</v>
      </c>
      <c r="H15" s="59" t="s">
        <v>55</v>
      </c>
      <c r="I15" s="59" t="s">
        <v>55</v>
      </c>
      <c r="J15" s="59" t="s">
        <v>55</v>
      </c>
      <c r="K15" s="59" t="s">
        <v>55</v>
      </c>
      <c r="L15" s="59" t="s">
        <v>55</v>
      </c>
      <c r="M15" s="86" t="s">
        <v>65</v>
      </c>
      <c r="N15" s="86" t="s">
        <v>66</v>
      </c>
      <c r="O15" s="142" t="s">
        <v>67</v>
      </c>
      <c r="P15" s="142"/>
    </row>
    <row r="16" spans="2:16" x14ac:dyDescent="0.2">
      <c r="B16" s="70" t="s">
        <v>289</v>
      </c>
      <c r="C16" s="140" t="s">
        <v>295</v>
      </c>
      <c r="D16" s="140"/>
      <c r="E16" s="64" t="s">
        <v>61</v>
      </c>
      <c r="F16" s="59" t="s">
        <v>55</v>
      </c>
      <c r="G16" s="59" t="s">
        <v>55</v>
      </c>
      <c r="H16" s="59" t="s">
        <v>55</v>
      </c>
      <c r="I16" s="59" t="s">
        <v>55</v>
      </c>
      <c r="J16" s="59" t="s">
        <v>55</v>
      </c>
      <c r="K16" s="59" t="s">
        <v>55</v>
      </c>
      <c r="L16" s="59" t="s">
        <v>55</v>
      </c>
      <c r="M16" s="84" t="s">
        <v>55</v>
      </c>
      <c r="N16" s="86" t="s">
        <v>55</v>
      </c>
      <c r="O16" s="140" t="s">
        <v>55</v>
      </c>
      <c r="P16" s="140"/>
    </row>
    <row r="17" spans="2:16" x14ac:dyDescent="0.2">
      <c r="B17" s="70" t="s">
        <v>290</v>
      </c>
      <c r="C17" s="140" t="s">
        <v>288</v>
      </c>
      <c r="D17" s="140"/>
      <c r="E17" s="64" t="s">
        <v>61</v>
      </c>
      <c r="F17" s="59" t="s">
        <v>55</v>
      </c>
      <c r="G17" s="59" t="s">
        <v>55</v>
      </c>
      <c r="H17" s="59" t="s">
        <v>55</v>
      </c>
      <c r="I17" s="59" t="s">
        <v>55</v>
      </c>
      <c r="J17" s="59" t="s">
        <v>55</v>
      </c>
      <c r="K17" s="59" t="s">
        <v>55</v>
      </c>
      <c r="L17" s="59" t="s">
        <v>55</v>
      </c>
      <c r="M17" s="84" t="s">
        <v>55</v>
      </c>
      <c r="N17" s="86" t="s">
        <v>55</v>
      </c>
      <c r="O17" s="140" t="s">
        <v>55</v>
      </c>
      <c r="P17" s="140"/>
    </row>
    <row r="18" spans="2:16" x14ac:dyDescent="0.2">
      <c r="B18" s="70" t="s">
        <v>291</v>
      </c>
      <c r="C18" s="140" t="s">
        <v>69</v>
      </c>
      <c r="D18" s="140"/>
      <c r="E18" s="64" t="s">
        <v>61</v>
      </c>
      <c r="F18" s="59" t="s">
        <v>55</v>
      </c>
      <c r="G18" s="59" t="s">
        <v>55</v>
      </c>
      <c r="H18" s="59" t="s">
        <v>55</v>
      </c>
      <c r="I18" s="59" t="s">
        <v>55</v>
      </c>
      <c r="J18" s="59" t="s">
        <v>55</v>
      </c>
      <c r="K18" s="59" t="s">
        <v>55</v>
      </c>
      <c r="L18" s="59" t="s">
        <v>55</v>
      </c>
      <c r="M18" s="84" t="s">
        <v>55</v>
      </c>
      <c r="N18" s="86" t="s">
        <v>55</v>
      </c>
      <c r="O18" s="140" t="s">
        <v>55</v>
      </c>
      <c r="P18" s="140"/>
    </row>
    <row r="19" spans="2:16" x14ac:dyDescent="0.2">
      <c r="B19" s="70" t="s">
        <v>292</v>
      </c>
      <c r="C19" s="140" t="s">
        <v>68</v>
      </c>
      <c r="D19" s="140"/>
      <c r="E19" s="64" t="s">
        <v>61</v>
      </c>
      <c r="F19" s="59" t="s">
        <v>55</v>
      </c>
      <c r="G19" s="59" t="s">
        <v>55</v>
      </c>
      <c r="H19" s="59" t="s">
        <v>55</v>
      </c>
      <c r="I19" s="59" t="s">
        <v>55</v>
      </c>
      <c r="J19" s="59" t="s">
        <v>55</v>
      </c>
      <c r="K19" s="59" t="s">
        <v>55</v>
      </c>
      <c r="L19" s="59" t="s">
        <v>55</v>
      </c>
      <c r="M19" s="84" t="s">
        <v>55</v>
      </c>
      <c r="N19" s="86" t="s">
        <v>55</v>
      </c>
      <c r="O19" s="140" t="s">
        <v>55</v>
      </c>
      <c r="P19" s="140"/>
    </row>
    <row r="20" spans="2:16" x14ac:dyDescent="0.2">
      <c r="B20" s="70" t="s">
        <v>293</v>
      </c>
      <c r="C20" s="140" t="s">
        <v>70</v>
      </c>
      <c r="D20" s="140"/>
      <c r="E20" s="64" t="s">
        <v>61</v>
      </c>
      <c r="F20" s="59" t="s">
        <v>55</v>
      </c>
      <c r="G20" s="59" t="s">
        <v>55</v>
      </c>
      <c r="H20" s="59" t="s">
        <v>55</v>
      </c>
      <c r="I20" s="59" t="s">
        <v>55</v>
      </c>
      <c r="J20" s="59" t="s">
        <v>55</v>
      </c>
      <c r="K20" s="59" t="s">
        <v>55</v>
      </c>
      <c r="L20" s="59" t="s">
        <v>55</v>
      </c>
      <c r="M20" s="84" t="s">
        <v>55</v>
      </c>
      <c r="N20" s="86" t="s">
        <v>55</v>
      </c>
      <c r="O20" s="140" t="s">
        <v>55</v>
      </c>
      <c r="P20" s="140"/>
    </row>
    <row r="21" spans="2:16" x14ac:dyDescent="0.2">
      <c r="B21" s="70" t="s">
        <v>294</v>
      </c>
      <c r="C21" s="140" t="s">
        <v>71</v>
      </c>
      <c r="D21" s="140"/>
      <c r="E21" s="64" t="s">
        <v>61</v>
      </c>
      <c r="F21" s="59" t="s">
        <v>55</v>
      </c>
      <c r="G21" s="59" t="s">
        <v>55</v>
      </c>
      <c r="H21" s="59" t="s">
        <v>55</v>
      </c>
      <c r="I21" s="59" t="s">
        <v>55</v>
      </c>
      <c r="J21" s="59" t="s">
        <v>55</v>
      </c>
      <c r="K21" s="59" t="s">
        <v>55</v>
      </c>
      <c r="L21" s="59" t="s">
        <v>55</v>
      </c>
      <c r="M21" s="84" t="s">
        <v>55</v>
      </c>
      <c r="N21" s="86" t="s">
        <v>55</v>
      </c>
      <c r="O21" s="140" t="s">
        <v>55</v>
      </c>
      <c r="P21" s="140"/>
    </row>
    <row r="22" spans="2:16" x14ac:dyDescent="0.2">
      <c r="B22" s="70" t="s">
        <v>296</v>
      </c>
      <c r="C22" s="140" t="s">
        <v>72</v>
      </c>
      <c r="D22" s="140"/>
      <c r="E22" s="64" t="s">
        <v>61</v>
      </c>
      <c r="F22" s="59" t="s">
        <v>55</v>
      </c>
      <c r="G22" s="59" t="s">
        <v>55</v>
      </c>
      <c r="H22" s="59" t="s">
        <v>55</v>
      </c>
      <c r="I22" s="59" t="s">
        <v>55</v>
      </c>
      <c r="J22" s="59" t="s">
        <v>55</v>
      </c>
      <c r="K22" s="59" t="s">
        <v>55</v>
      </c>
      <c r="L22" s="59" t="s">
        <v>55</v>
      </c>
      <c r="M22" s="84" t="s">
        <v>55</v>
      </c>
      <c r="N22" s="86" t="s">
        <v>55</v>
      </c>
      <c r="O22" s="140" t="s">
        <v>55</v>
      </c>
      <c r="P22" s="140"/>
    </row>
    <row r="23" spans="2:16" x14ac:dyDescent="0.2">
      <c r="B23" s="71" t="s">
        <v>73</v>
      </c>
      <c r="C23" s="145" t="s">
        <v>74</v>
      </c>
      <c r="D23" s="145"/>
      <c r="E23" s="65" t="s">
        <v>55</v>
      </c>
      <c r="F23" s="66" t="s">
        <v>55</v>
      </c>
      <c r="G23" s="66" t="s">
        <v>55</v>
      </c>
      <c r="H23" s="66" t="s">
        <v>55</v>
      </c>
      <c r="I23" s="66" t="s">
        <v>55</v>
      </c>
      <c r="J23" s="66" t="s">
        <v>75</v>
      </c>
      <c r="K23" s="66" t="s">
        <v>75</v>
      </c>
      <c r="L23" s="66" t="s">
        <v>75</v>
      </c>
      <c r="M23" s="87" t="s">
        <v>55</v>
      </c>
      <c r="N23" s="88" t="s">
        <v>55</v>
      </c>
      <c r="O23" s="145" t="s">
        <v>55</v>
      </c>
      <c r="P23" s="145"/>
    </row>
    <row r="24" spans="2:16" x14ac:dyDescent="0.2">
      <c r="B24" s="70" t="s">
        <v>76</v>
      </c>
      <c r="C24" s="140" t="s">
        <v>77</v>
      </c>
      <c r="D24" s="140"/>
      <c r="E24" s="64" t="s">
        <v>78</v>
      </c>
      <c r="F24" s="59" t="s">
        <v>79</v>
      </c>
      <c r="G24" s="59" t="s">
        <v>79</v>
      </c>
      <c r="H24" s="59" t="s">
        <v>301</v>
      </c>
      <c r="I24" s="59" t="s">
        <v>302</v>
      </c>
      <c r="J24" s="59" t="s">
        <v>75</v>
      </c>
      <c r="K24" s="59" t="s">
        <v>75</v>
      </c>
      <c r="L24" s="59" t="s">
        <v>75</v>
      </c>
      <c r="M24" s="84" t="s">
        <v>55</v>
      </c>
      <c r="N24" s="86" t="s">
        <v>55</v>
      </c>
      <c r="O24" s="142" t="s">
        <v>80</v>
      </c>
      <c r="P24" s="140"/>
    </row>
    <row r="25" spans="2:16" x14ac:dyDescent="0.2">
      <c r="B25" s="70" t="s">
        <v>81</v>
      </c>
      <c r="C25" s="140" t="s">
        <v>82</v>
      </c>
      <c r="D25" s="140"/>
      <c r="E25" s="64" t="s">
        <v>83</v>
      </c>
      <c r="F25" s="59" t="s">
        <v>55</v>
      </c>
      <c r="G25" s="59" t="s">
        <v>55</v>
      </c>
      <c r="H25" s="59" t="s">
        <v>55</v>
      </c>
      <c r="I25" s="59" t="s">
        <v>55</v>
      </c>
      <c r="J25" s="59" t="s">
        <v>75</v>
      </c>
      <c r="K25" s="59" t="s">
        <v>75</v>
      </c>
      <c r="L25" s="59" t="s">
        <v>75</v>
      </c>
      <c r="M25" s="84" t="s">
        <v>55</v>
      </c>
      <c r="N25" s="86" t="s">
        <v>55</v>
      </c>
      <c r="O25" s="140" t="s">
        <v>55</v>
      </c>
      <c r="P25" s="140"/>
    </row>
    <row r="26" spans="2:16" x14ac:dyDescent="0.2">
      <c r="B26" s="70" t="s">
        <v>84</v>
      </c>
      <c r="C26" s="140" t="s">
        <v>85</v>
      </c>
      <c r="D26" s="140"/>
      <c r="E26" s="64" t="s">
        <v>86</v>
      </c>
      <c r="F26" s="59" t="s">
        <v>79</v>
      </c>
      <c r="G26" s="59" t="s">
        <v>79</v>
      </c>
      <c r="H26" s="59" t="s">
        <v>55</v>
      </c>
      <c r="I26" s="59" t="s">
        <v>55</v>
      </c>
      <c r="J26" s="59" t="s">
        <v>75</v>
      </c>
      <c r="K26" s="59" t="s">
        <v>75</v>
      </c>
      <c r="L26" s="59" t="s">
        <v>75</v>
      </c>
      <c r="M26" s="84" t="s">
        <v>55</v>
      </c>
      <c r="N26" s="86" t="s">
        <v>55</v>
      </c>
      <c r="O26" s="140" t="s">
        <v>87</v>
      </c>
      <c r="P26" s="140"/>
    </row>
    <row r="27" spans="2:16" x14ac:dyDescent="0.2">
      <c r="B27" s="70" t="s">
        <v>88</v>
      </c>
      <c r="C27" s="140" t="s">
        <v>89</v>
      </c>
      <c r="D27" s="140"/>
      <c r="E27" s="64" t="s">
        <v>86</v>
      </c>
      <c r="F27" s="59" t="s">
        <v>79</v>
      </c>
      <c r="G27" s="59" t="s">
        <v>79</v>
      </c>
      <c r="H27" s="59" t="s">
        <v>55</v>
      </c>
      <c r="I27" s="59" t="s">
        <v>55</v>
      </c>
      <c r="J27" s="59" t="s">
        <v>75</v>
      </c>
      <c r="K27" s="59" t="s">
        <v>75</v>
      </c>
      <c r="L27" s="59" t="s">
        <v>75</v>
      </c>
      <c r="M27" s="84" t="s">
        <v>55</v>
      </c>
      <c r="N27" s="86" t="s">
        <v>55</v>
      </c>
      <c r="O27" s="140" t="s">
        <v>87</v>
      </c>
      <c r="P27" s="140"/>
    </row>
    <row r="28" spans="2:16" x14ac:dyDescent="0.2">
      <c r="B28" s="70" t="s">
        <v>90</v>
      </c>
      <c r="C28" s="140" t="s">
        <v>91</v>
      </c>
      <c r="D28" s="140"/>
      <c r="E28" s="64" t="s">
        <v>86</v>
      </c>
      <c r="F28" s="59" t="s">
        <v>79</v>
      </c>
      <c r="G28" s="59" t="s">
        <v>79</v>
      </c>
      <c r="H28" s="59" t="s">
        <v>55</v>
      </c>
      <c r="I28" s="59" t="s">
        <v>55</v>
      </c>
      <c r="J28" s="59" t="s">
        <v>75</v>
      </c>
      <c r="K28" s="59" t="s">
        <v>75</v>
      </c>
      <c r="L28" s="59" t="s">
        <v>75</v>
      </c>
      <c r="M28" s="84" t="s">
        <v>55</v>
      </c>
      <c r="N28" s="86" t="s">
        <v>55</v>
      </c>
      <c r="O28" s="140" t="s">
        <v>87</v>
      </c>
      <c r="P28" s="140"/>
    </row>
    <row r="29" spans="2:16" x14ac:dyDescent="0.2">
      <c r="B29" s="70" t="s">
        <v>92</v>
      </c>
      <c r="C29" s="140" t="s">
        <v>93</v>
      </c>
      <c r="D29" s="140"/>
      <c r="E29" s="64" t="s">
        <v>86</v>
      </c>
      <c r="F29" s="59" t="s">
        <v>79</v>
      </c>
      <c r="G29" s="59" t="s">
        <v>79</v>
      </c>
      <c r="H29" s="59" t="s">
        <v>55</v>
      </c>
      <c r="I29" s="59" t="s">
        <v>55</v>
      </c>
      <c r="J29" s="59" t="s">
        <v>75</v>
      </c>
      <c r="K29" s="59" t="s">
        <v>75</v>
      </c>
      <c r="L29" s="59" t="s">
        <v>75</v>
      </c>
      <c r="M29" s="84" t="s">
        <v>55</v>
      </c>
      <c r="N29" s="86" t="s">
        <v>55</v>
      </c>
      <c r="O29" s="140" t="s">
        <v>87</v>
      </c>
      <c r="P29" s="140"/>
    </row>
    <row r="30" spans="2:16" x14ac:dyDescent="0.2">
      <c r="B30" s="70" t="s">
        <v>94</v>
      </c>
      <c r="C30" s="140" t="s">
        <v>95</v>
      </c>
      <c r="D30" s="140"/>
      <c r="E30" s="64" t="s">
        <v>61</v>
      </c>
      <c r="F30" s="59" t="s">
        <v>55</v>
      </c>
      <c r="G30" s="59" t="s">
        <v>55</v>
      </c>
      <c r="H30" s="59" t="s">
        <v>55</v>
      </c>
      <c r="I30" s="59" t="s">
        <v>55</v>
      </c>
      <c r="J30" s="59" t="s">
        <v>75</v>
      </c>
      <c r="K30" s="59" t="s">
        <v>75</v>
      </c>
      <c r="L30" s="59" t="s">
        <v>75</v>
      </c>
      <c r="M30" s="84" t="s">
        <v>55</v>
      </c>
      <c r="N30" s="86" t="s">
        <v>55</v>
      </c>
      <c r="O30" s="140" t="s">
        <v>55</v>
      </c>
      <c r="P30" s="140"/>
    </row>
    <row r="31" spans="2:16" x14ac:dyDescent="0.2">
      <c r="B31" s="70" t="s">
        <v>96</v>
      </c>
      <c r="C31" s="140" t="s">
        <v>97</v>
      </c>
      <c r="D31" s="140"/>
      <c r="E31" s="64" t="s">
        <v>61</v>
      </c>
      <c r="F31" s="59" t="s">
        <v>55</v>
      </c>
      <c r="G31" s="59" t="s">
        <v>55</v>
      </c>
      <c r="H31" s="59" t="s">
        <v>55</v>
      </c>
      <c r="I31" s="59" t="s">
        <v>55</v>
      </c>
      <c r="J31" s="59" t="s">
        <v>75</v>
      </c>
      <c r="K31" s="59" t="s">
        <v>75</v>
      </c>
      <c r="L31" s="59" t="s">
        <v>75</v>
      </c>
      <c r="M31" s="84" t="s">
        <v>55</v>
      </c>
      <c r="N31" s="86" t="s">
        <v>55</v>
      </c>
      <c r="O31" s="140" t="s">
        <v>55</v>
      </c>
      <c r="P31" s="140"/>
    </row>
    <row r="32" spans="2:16" x14ac:dyDescent="0.2">
      <c r="B32" s="70" t="s">
        <v>98</v>
      </c>
      <c r="C32" s="140" t="s">
        <v>99</v>
      </c>
      <c r="D32" s="140"/>
      <c r="E32" s="64" t="s">
        <v>83</v>
      </c>
      <c r="F32" s="59" t="s">
        <v>55</v>
      </c>
      <c r="G32" s="59" t="s">
        <v>55</v>
      </c>
      <c r="H32" s="59" t="s">
        <v>55</v>
      </c>
      <c r="I32" s="59" t="s">
        <v>55</v>
      </c>
      <c r="J32" s="59" t="s">
        <v>75</v>
      </c>
      <c r="K32" s="59" t="s">
        <v>75</v>
      </c>
      <c r="L32" s="59" t="s">
        <v>75</v>
      </c>
      <c r="M32" s="84" t="s">
        <v>55</v>
      </c>
      <c r="N32" s="86" t="s">
        <v>55</v>
      </c>
      <c r="O32" s="140" t="s">
        <v>55</v>
      </c>
      <c r="P32" s="140"/>
    </row>
    <row r="33" spans="2:16" ht="26" x14ac:dyDescent="0.2">
      <c r="B33" s="70" t="s">
        <v>100</v>
      </c>
      <c r="C33" s="140" t="s">
        <v>99</v>
      </c>
      <c r="D33" s="140"/>
      <c r="E33" s="64" t="s">
        <v>101</v>
      </c>
      <c r="F33" s="59" t="s">
        <v>79</v>
      </c>
      <c r="G33" s="59" t="s">
        <v>79</v>
      </c>
      <c r="H33" s="59" t="s">
        <v>55</v>
      </c>
      <c r="I33" s="59" t="s">
        <v>55</v>
      </c>
      <c r="J33" s="59" t="s">
        <v>75</v>
      </c>
      <c r="K33" s="59" t="s">
        <v>75</v>
      </c>
      <c r="L33" s="59" t="s">
        <v>75</v>
      </c>
      <c r="M33" s="86" t="s">
        <v>65</v>
      </c>
      <c r="N33" s="86" t="s">
        <v>102</v>
      </c>
      <c r="O33" s="140" t="s">
        <v>55</v>
      </c>
      <c r="P33" s="140"/>
    </row>
    <row r="34" spans="2:16" x14ac:dyDescent="0.2">
      <c r="B34" s="70" t="s">
        <v>103</v>
      </c>
      <c r="C34" s="140" t="s">
        <v>104</v>
      </c>
      <c r="D34" s="140"/>
      <c r="E34" s="64" t="s">
        <v>83</v>
      </c>
      <c r="F34" s="59" t="s">
        <v>55</v>
      </c>
      <c r="G34" s="59" t="s">
        <v>55</v>
      </c>
      <c r="H34" s="59" t="s">
        <v>55</v>
      </c>
      <c r="I34" s="59" t="s">
        <v>55</v>
      </c>
      <c r="J34" s="59" t="s">
        <v>75</v>
      </c>
      <c r="K34" s="59" t="s">
        <v>75</v>
      </c>
      <c r="L34" s="59" t="s">
        <v>75</v>
      </c>
      <c r="M34" s="84" t="s">
        <v>55</v>
      </c>
      <c r="N34" s="86" t="s">
        <v>55</v>
      </c>
      <c r="O34" s="140" t="s">
        <v>55</v>
      </c>
      <c r="P34" s="140"/>
    </row>
    <row r="35" spans="2:16" x14ac:dyDescent="0.2">
      <c r="B35" s="70" t="s">
        <v>105</v>
      </c>
      <c r="C35" s="140" t="s">
        <v>104</v>
      </c>
      <c r="D35" s="140"/>
      <c r="E35" s="64" t="s">
        <v>101</v>
      </c>
      <c r="F35" s="59" t="s">
        <v>79</v>
      </c>
      <c r="G35" s="59" t="s">
        <v>79</v>
      </c>
      <c r="H35" s="59" t="s">
        <v>55</v>
      </c>
      <c r="I35" s="59" t="s">
        <v>55</v>
      </c>
      <c r="J35" s="59" t="s">
        <v>75</v>
      </c>
      <c r="K35" s="59" t="s">
        <v>75</v>
      </c>
      <c r="L35" s="59" t="s">
        <v>75</v>
      </c>
      <c r="M35" s="86" t="s">
        <v>65</v>
      </c>
      <c r="N35" s="86" t="s">
        <v>106</v>
      </c>
      <c r="O35" s="140" t="s">
        <v>55</v>
      </c>
      <c r="P35" s="140"/>
    </row>
    <row r="36" spans="2:16" x14ac:dyDescent="0.2">
      <c r="B36" s="70" t="s">
        <v>107</v>
      </c>
      <c r="C36" s="140" t="s">
        <v>108</v>
      </c>
      <c r="D36" s="140"/>
      <c r="E36" s="64" t="s">
        <v>83</v>
      </c>
      <c r="F36" s="59" t="s">
        <v>55</v>
      </c>
      <c r="G36" s="59" t="s">
        <v>55</v>
      </c>
      <c r="H36" s="59" t="s">
        <v>55</v>
      </c>
      <c r="I36" s="59" t="s">
        <v>55</v>
      </c>
      <c r="J36" s="59" t="s">
        <v>75</v>
      </c>
      <c r="K36" s="59" t="s">
        <v>75</v>
      </c>
      <c r="L36" s="59" t="s">
        <v>75</v>
      </c>
      <c r="M36" s="84" t="s">
        <v>55</v>
      </c>
      <c r="N36" s="86" t="s">
        <v>55</v>
      </c>
      <c r="O36" s="140" t="s">
        <v>55</v>
      </c>
      <c r="P36" s="140"/>
    </row>
    <row r="37" spans="2:16" x14ac:dyDescent="0.2">
      <c r="B37" s="70" t="s">
        <v>109</v>
      </c>
      <c r="C37" s="140" t="s">
        <v>108</v>
      </c>
      <c r="D37" s="140"/>
      <c r="E37" s="64" t="s">
        <v>101</v>
      </c>
      <c r="F37" s="59" t="s">
        <v>79</v>
      </c>
      <c r="G37" s="59" t="s">
        <v>79</v>
      </c>
      <c r="H37" s="59" t="s">
        <v>55</v>
      </c>
      <c r="I37" s="59" t="s">
        <v>55</v>
      </c>
      <c r="J37" s="59" t="s">
        <v>75</v>
      </c>
      <c r="K37" s="59" t="s">
        <v>75</v>
      </c>
      <c r="L37" s="59" t="s">
        <v>75</v>
      </c>
      <c r="M37" s="86" t="s">
        <v>65</v>
      </c>
      <c r="N37" s="86" t="s">
        <v>110</v>
      </c>
      <c r="O37" s="140" t="s">
        <v>55</v>
      </c>
      <c r="P37" s="140"/>
    </row>
    <row r="38" spans="2:16" x14ac:dyDescent="0.2">
      <c r="B38" s="70" t="s">
        <v>111</v>
      </c>
      <c r="C38" s="140" t="s">
        <v>112</v>
      </c>
      <c r="D38" s="140"/>
      <c r="E38" s="64" t="s">
        <v>83</v>
      </c>
      <c r="F38" s="59" t="s">
        <v>55</v>
      </c>
      <c r="G38" s="59" t="s">
        <v>55</v>
      </c>
      <c r="H38" s="59" t="s">
        <v>55</v>
      </c>
      <c r="I38" s="59" t="s">
        <v>55</v>
      </c>
      <c r="J38" s="59" t="s">
        <v>75</v>
      </c>
      <c r="K38" s="59" t="s">
        <v>75</v>
      </c>
      <c r="L38" s="59" t="s">
        <v>75</v>
      </c>
      <c r="M38" s="84" t="s">
        <v>55</v>
      </c>
      <c r="N38" s="86" t="s">
        <v>55</v>
      </c>
      <c r="O38" s="140" t="s">
        <v>55</v>
      </c>
      <c r="P38" s="140"/>
    </row>
    <row r="39" spans="2:16" x14ac:dyDescent="0.2">
      <c r="B39" s="70" t="s">
        <v>113</v>
      </c>
      <c r="C39" s="140" t="s">
        <v>114</v>
      </c>
      <c r="D39" s="140"/>
      <c r="E39" s="64" t="s">
        <v>101</v>
      </c>
      <c r="F39" s="59" t="s">
        <v>79</v>
      </c>
      <c r="G39" s="59" t="s">
        <v>79</v>
      </c>
      <c r="H39" s="59" t="s">
        <v>55</v>
      </c>
      <c r="I39" s="59" t="s">
        <v>55</v>
      </c>
      <c r="J39" s="59" t="s">
        <v>75</v>
      </c>
      <c r="K39" s="59" t="s">
        <v>75</v>
      </c>
      <c r="L39" s="59" t="s">
        <v>115</v>
      </c>
      <c r="M39" s="86" t="s">
        <v>65</v>
      </c>
      <c r="N39" s="86" t="s">
        <v>116</v>
      </c>
      <c r="O39" s="142" t="s">
        <v>117</v>
      </c>
      <c r="P39" s="142"/>
    </row>
    <row r="40" spans="2:16" x14ac:dyDescent="0.2">
      <c r="B40" s="70" t="s">
        <v>118</v>
      </c>
      <c r="C40" s="140" t="s">
        <v>119</v>
      </c>
      <c r="D40" s="140"/>
      <c r="E40" s="64" t="s">
        <v>83</v>
      </c>
      <c r="F40" s="59" t="s">
        <v>55</v>
      </c>
      <c r="G40" s="59" t="s">
        <v>55</v>
      </c>
      <c r="H40" s="59" t="s">
        <v>55</v>
      </c>
      <c r="I40" s="59" t="s">
        <v>55</v>
      </c>
      <c r="J40" s="59" t="s">
        <v>75</v>
      </c>
      <c r="K40" s="59" t="s">
        <v>75</v>
      </c>
      <c r="L40" s="59" t="s">
        <v>75</v>
      </c>
      <c r="M40" s="84" t="s">
        <v>55</v>
      </c>
      <c r="N40" s="86" t="s">
        <v>55</v>
      </c>
      <c r="O40" s="140" t="s">
        <v>55</v>
      </c>
      <c r="P40" s="140"/>
    </row>
    <row r="41" spans="2:16" x14ac:dyDescent="0.2">
      <c r="B41" s="70" t="s">
        <v>120</v>
      </c>
      <c r="C41" s="140" t="s">
        <v>121</v>
      </c>
      <c r="D41" s="140"/>
      <c r="E41" s="64" t="s">
        <v>101</v>
      </c>
      <c r="F41" s="59" t="s">
        <v>79</v>
      </c>
      <c r="G41" s="59" t="s">
        <v>79</v>
      </c>
      <c r="H41" s="59" t="s">
        <v>55</v>
      </c>
      <c r="I41" s="59" t="s">
        <v>55</v>
      </c>
      <c r="J41" s="59" t="s">
        <v>75</v>
      </c>
      <c r="K41" s="59" t="s">
        <v>75</v>
      </c>
      <c r="L41" s="59" t="s">
        <v>115</v>
      </c>
      <c r="M41" s="86" t="s">
        <v>65</v>
      </c>
      <c r="N41" s="86" t="s">
        <v>116</v>
      </c>
      <c r="O41" s="142" t="s">
        <v>117</v>
      </c>
      <c r="P41" s="142"/>
    </row>
    <row r="42" spans="2:16" x14ac:dyDescent="0.2">
      <c r="B42" s="70" t="s">
        <v>122</v>
      </c>
      <c r="C42" s="140" t="s">
        <v>123</v>
      </c>
      <c r="D42" s="140"/>
      <c r="E42" s="64" t="s">
        <v>83</v>
      </c>
      <c r="F42" s="59" t="s">
        <v>55</v>
      </c>
      <c r="G42" s="59" t="s">
        <v>55</v>
      </c>
      <c r="H42" s="59" t="s">
        <v>55</v>
      </c>
      <c r="I42" s="59" t="s">
        <v>55</v>
      </c>
      <c r="J42" s="59" t="s">
        <v>75</v>
      </c>
      <c r="K42" s="59" t="s">
        <v>75</v>
      </c>
      <c r="L42" s="59" t="s">
        <v>75</v>
      </c>
      <c r="M42" s="84" t="s">
        <v>55</v>
      </c>
      <c r="N42" s="86" t="s">
        <v>55</v>
      </c>
      <c r="O42" s="140" t="s">
        <v>55</v>
      </c>
      <c r="P42" s="140"/>
    </row>
    <row r="43" spans="2:16" x14ac:dyDescent="0.2">
      <c r="B43" s="70" t="s">
        <v>124</v>
      </c>
      <c r="C43" s="140" t="s">
        <v>123</v>
      </c>
      <c r="D43" s="140"/>
      <c r="E43" s="64" t="s">
        <v>101</v>
      </c>
      <c r="F43" s="59" t="s">
        <v>79</v>
      </c>
      <c r="G43" s="59" t="s">
        <v>79</v>
      </c>
      <c r="H43" s="59" t="s">
        <v>55</v>
      </c>
      <c r="I43" s="59" t="s">
        <v>55</v>
      </c>
      <c r="J43" s="59" t="s">
        <v>75</v>
      </c>
      <c r="K43" s="59" t="s">
        <v>75</v>
      </c>
      <c r="L43" s="59" t="s">
        <v>75</v>
      </c>
      <c r="M43" s="86" t="s">
        <v>65</v>
      </c>
      <c r="N43" s="86" t="s">
        <v>125</v>
      </c>
      <c r="O43" s="140" t="s">
        <v>55</v>
      </c>
      <c r="P43" s="140"/>
    </row>
    <row r="44" spans="2:16" x14ac:dyDescent="0.2">
      <c r="B44" s="70" t="s">
        <v>126</v>
      </c>
      <c r="C44" s="140" t="s">
        <v>127</v>
      </c>
      <c r="D44" s="140"/>
      <c r="E44" s="64" t="s">
        <v>83</v>
      </c>
      <c r="F44" s="59" t="s">
        <v>55</v>
      </c>
      <c r="G44" s="59" t="s">
        <v>55</v>
      </c>
      <c r="H44" s="59" t="s">
        <v>55</v>
      </c>
      <c r="I44" s="59" t="s">
        <v>55</v>
      </c>
      <c r="J44" s="59" t="s">
        <v>75</v>
      </c>
      <c r="K44" s="59" t="s">
        <v>75</v>
      </c>
      <c r="L44" s="59" t="s">
        <v>75</v>
      </c>
      <c r="M44" s="84" t="s">
        <v>55</v>
      </c>
      <c r="N44" s="86" t="s">
        <v>55</v>
      </c>
      <c r="O44" s="140" t="s">
        <v>55</v>
      </c>
      <c r="P44" s="140"/>
    </row>
    <row r="45" spans="2:16" x14ac:dyDescent="0.2">
      <c r="B45" s="70" t="s">
        <v>128</v>
      </c>
      <c r="C45" s="140" t="s">
        <v>127</v>
      </c>
      <c r="D45" s="140"/>
      <c r="E45" s="64" t="s">
        <v>101</v>
      </c>
      <c r="F45" s="59" t="s">
        <v>79</v>
      </c>
      <c r="G45" s="59" t="s">
        <v>79</v>
      </c>
      <c r="H45" s="59" t="s">
        <v>55</v>
      </c>
      <c r="I45" s="59" t="s">
        <v>55</v>
      </c>
      <c r="J45" s="59" t="s">
        <v>75</v>
      </c>
      <c r="K45" s="59" t="s">
        <v>75</v>
      </c>
      <c r="L45" s="59" t="s">
        <v>75</v>
      </c>
      <c r="M45" s="86" t="s">
        <v>65</v>
      </c>
      <c r="N45" s="86" t="s">
        <v>129</v>
      </c>
      <c r="O45" s="140" t="s">
        <v>55</v>
      </c>
      <c r="P45" s="140"/>
    </row>
    <row r="46" spans="2:16" x14ac:dyDescent="0.2">
      <c r="B46" s="70" t="s">
        <v>130</v>
      </c>
      <c r="C46" s="140" t="s">
        <v>131</v>
      </c>
      <c r="D46" s="140"/>
      <c r="E46" s="64" t="s">
        <v>83</v>
      </c>
      <c r="F46" s="59" t="s">
        <v>55</v>
      </c>
      <c r="G46" s="59" t="s">
        <v>55</v>
      </c>
      <c r="H46" s="59" t="s">
        <v>55</v>
      </c>
      <c r="I46" s="59" t="s">
        <v>55</v>
      </c>
      <c r="J46" s="59" t="s">
        <v>75</v>
      </c>
      <c r="K46" s="59" t="s">
        <v>75</v>
      </c>
      <c r="L46" s="59" t="s">
        <v>75</v>
      </c>
      <c r="M46" s="84" t="s">
        <v>55</v>
      </c>
      <c r="N46" s="86" t="s">
        <v>55</v>
      </c>
      <c r="O46" s="140" t="s">
        <v>55</v>
      </c>
      <c r="P46" s="140"/>
    </row>
    <row r="47" spans="2:16" x14ac:dyDescent="0.2">
      <c r="B47" s="70" t="s">
        <v>132</v>
      </c>
      <c r="C47" s="140" t="s">
        <v>131</v>
      </c>
      <c r="D47" s="140"/>
      <c r="E47" s="64" t="s">
        <v>101</v>
      </c>
      <c r="F47" s="59" t="s">
        <v>79</v>
      </c>
      <c r="G47" s="59" t="s">
        <v>79</v>
      </c>
      <c r="H47" s="59" t="s">
        <v>55</v>
      </c>
      <c r="I47" s="59" t="s">
        <v>55</v>
      </c>
      <c r="J47" s="59" t="s">
        <v>75</v>
      </c>
      <c r="K47" s="59" t="s">
        <v>75</v>
      </c>
      <c r="L47" s="59" t="s">
        <v>75</v>
      </c>
      <c r="M47" s="86" t="s">
        <v>65</v>
      </c>
      <c r="N47" s="86" t="s">
        <v>133</v>
      </c>
      <c r="O47" s="140" t="s">
        <v>55</v>
      </c>
      <c r="P47" s="140"/>
    </row>
    <row r="48" spans="2:16" x14ac:dyDescent="0.2">
      <c r="B48" s="70" t="s">
        <v>134</v>
      </c>
      <c r="C48" s="140" t="s">
        <v>135</v>
      </c>
      <c r="D48" s="140"/>
      <c r="E48" s="64" t="s">
        <v>83</v>
      </c>
      <c r="F48" s="59" t="s">
        <v>55</v>
      </c>
      <c r="G48" s="59" t="s">
        <v>55</v>
      </c>
      <c r="H48" s="59" t="s">
        <v>55</v>
      </c>
      <c r="I48" s="59" t="s">
        <v>55</v>
      </c>
      <c r="J48" s="59" t="s">
        <v>75</v>
      </c>
      <c r="K48" s="59" t="s">
        <v>75</v>
      </c>
      <c r="L48" s="59" t="s">
        <v>75</v>
      </c>
      <c r="M48" s="84" t="s">
        <v>55</v>
      </c>
      <c r="N48" s="86" t="s">
        <v>55</v>
      </c>
      <c r="O48" s="140" t="s">
        <v>55</v>
      </c>
      <c r="P48" s="140"/>
    </row>
    <row r="49" spans="2:18" x14ac:dyDescent="0.2">
      <c r="B49" s="70" t="s">
        <v>136</v>
      </c>
      <c r="C49" s="140" t="s">
        <v>135</v>
      </c>
      <c r="D49" s="140"/>
      <c r="E49" s="64" t="s">
        <v>101</v>
      </c>
      <c r="F49" s="59" t="s">
        <v>79</v>
      </c>
      <c r="G49" s="59" t="s">
        <v>79</v>
      </c>
      <c r="H49" s="59" t="s">
        <v>55</v>
      </c>
      <c r="I49" s="59" t="s">
        <v>55</v>
      </c>
      <c r="J49" s="59" t="s">
        <v>75</v>
      </c>
      <c r="K49" s="59" t="s">
        <v>75</v>
      </c>
      <c r="L49" s="59" t="s">
        <v>75</v>
      </c>
      <c r="M49" s="86" t="s">
        <v>65</v>
      </c>
      <c r="N49" s="86" t="s">
        <v>137</v>
      </c>
      <c r="O49" s="140" t="s">
        <v>55</v>
      </c>
      <c r="P49" s="140"/>
    </row>
    <row r="50" spans="2:18" x14ac:dyDescent="0.2">
      <c r="B50" s="71" t="s">
        <v>138</v>
      </c>
      <c r="C50" s="145" t="s">
        <v>139</v>
      </c>
      <c r="D50" s="145"/>
      <c r="E50" s="65" t="s">
        <v>55</v>
      </c>
      <c r="F50" s="66" t="s">
        <v>55</v>
      </c>
      <c r="G50" s="66" t="s">
        <v>55</v>
      </c>
      <c r="H50" s="66" t="s">
        <v>55</v>
      </c>
      <c r="I50" s="66" t="s">
        <v>55</v>
      </c>
      <c r="J50" s="66" t="s">
        <v>75</v>
      </c>
      <c r="K50" s="66" t="s">
        <v>75</v>
      </c>
      <c r="L50" s="66" t="s">
        <v>75</v>
      </c>
      <c r="M50" s="87" t="s">
        <v>55</v>
      </c>
      <c r="N50" s="88" t="s">
        <v>55</v>
      </c>
      <c r="O50" s="145" t="s">
        <v>55</v>
      </c>
      <c r="P50" s="145"/>
      <c r="R50" s="9" t="s">
        <v>140</v>
      </c>
    </row>
    <row r="51" spans="2:18" x14ac:dyDescent="0.2">
      <c r="B51" s="70" t="s">
        <v>141</v>
      </c>
      <c r="C51" s="140" t="s">
        <v>142</v>
      </c>
      <c r="D51" s="140"/>
      <c r="E51" s="64" t="s">
        <v>91</v>
      </c>
      <c r="F51" s="59" t="s">
        <v>55</v>
      </c>
      <c r="G51" s="59" t="s">
        <v>55</v>
      </c>
      <c r="H51" s="59" t="s">
        <v>55</v>
      </c>
      <c r="I51" s="59" t="s">
        <v>55</v>
      </c>
      <c r="J51" s="59" t="s">
        <v>75</v>
      </c>
      <c r="K51" s="59" t="s">
        <v>75</v>
      </c>
      <c r="L51" s="59" t="s">
        <v>75</v>
      </c>
      <c r="M51" s="84" t="s">
        <v>55</v>
      </c>
      <c r="N51" s="86" t="s">
        <v>55</v>
      </c>
      <c r="O51" s="140" t="s">
        <v>55</v>
      </c>
      <c r="P51" s="140"/>
    </row>
    <row r="52" spans="2:18" x14ac:dyDescent="0.2">
      <c r="B52" s="70" t="s">
        <v>143</v>
      </c>
      <c r="C52" s="140" t="s">
        <v>144</v>
      </c>
      <c r="D52" s="140"/>
      <c r="E52" s="64" t="s">
        <v>145</v>
      </c>
      <c r="F52" s="59" t="s">
        <v>55</v>
      </c>
      <c r="G52" s="59" t="s">
        <v>55</v>
      </c>
      <c r="H52" s="59" t="s">
        <v>55</v>
      </c>
      <c r="I52" s="59" t="s">
        <v>55</v>
      </c>
      <c r="J52" s="59" t="s">
        <v>75</v>
      </c>
      <c r="K52" s="59" t="s">
        <v>75</v>
      </c>
      <c r="L52" s="59" t="s">
        <v>75</v>
      </c>
      <c r="M52" s="84" t="s">
        <v>55</v>
      </c>
      <c r="N52" s="86" t="s">
        <v>55</v>
      </c>
      <c r="O52" s="140" t="s">
        <v>55</v>
      </c>
      <c r="P52" s="140"/>
    </row>
    <row r="53" spans="2:18" x14ac:dyDescent="0.2">
      <c r="B53" s="70" t="s">
        <v>146</v>
      </c>
      <c r="C53" s="140" t="s">
        <v>147</v>
      </c>
      <c r="D53" s="140"/>
      <c r="E53" s="64" t="s">
        <v>91</v>
      </c>
      <c r="F53" s="59" t="s">
        <v>55</v>
      </c>
      <c r="G53" s="59" t="s">
        <v>55</v>
      </c>
      <c r="H53" s="59" t="s">
        <v>55</v>
      </c>
      <c r="I53" s="59" t="s">
        <v>55</v>
      </c>
      <c r="J53" s="59" t="s">
        <v>75</v>
      </c>
      <c r="K53" s="59" t="s">
        <v>75</v>
      </c>
      <c r="L53" s="59" t="s">
        <v>75</v>
      </c>
      <c r="M53" s="84" t="s">
        <v>55</v>
      </c>
      <c r="N53" s="86" t="s">
        <v>55</v>
      </c>
      <c r="O53" s="140" t="s">
        <v>55</v>
      </c>
      <c r="P53" s="140"/>
    </row>
  </sheetData>
  <autoFilter ref="B11:R11" xr:uid="{9873276D-40B5-47AB-A353-BED757DAFC01}">
    <filterColumn colId="1" showButton="0"/>
    <filterColumn colId="11" showButton="0"/>
    <filterColumn colId="12" showButton="0"/>
    <filterColumn colId="13" showButton="0"/>
  </autoFilter>
  <mergeCells count="100">
    <mergeCell ref="B6:P6"/>
    <mergeCell ref="B7:P7"/>
    <mergeCell ref="H10:L10"/>
    <mergeCell ref="C26:D26"/>
    <mergeCell ref="C16:D16"/>
    <mergeCell ref="O16:P16"/>
    <mergeCell ref="C20:D20"/>
    <mergeCell ref="O20:P20"/>
    <mergeCell ref="C18:D18"/>
    <mergeCell ref="O18:P18"/>
    <mergeCell ref="C19:D19"/>
    <mergeCell ref="O19:P19"/>
    <mergeCell ref="C23:D23"/>
    <mergeCell ref="O23:P23"/>
    <mergeCell ref="C22:D22"/>
    <mergeCell ref="O22:P22"/>
    <mergeCell ref="C21:D21"/>
    <mergeCell ref="O21:P21"/>
    <mergeCell ref="O26:P26"/>
    <mergeCell ref="C25:D25"/>
    <mergeCell ref="O25:P25"/>
    <mergeCell ref="C24:D24"/>
    <mergeCell ref="O24:P24"/>
    <mergeCell ref="C29:D29"/>
    <mergeCell ref="O29:P29"/>
    <mergeCell ref="C28:D28"/>
    <mergeCell ref="O28:P28"/>
    <mergeCell ref="C27:D27"/>
    <mergeCell ref="O27:P27"/>
    <mergeCell ref="C32:D32"/>
    <mergeCell ref="O32:P32"/>
    <mergeCell ref="C31:D31"/>
    <mergeCell ref="O31:P31"/>
    <mergeCell ref="C30:D30"/>
    <mergeCell ref="O30:P30"/>
    <mergeCell ref="C35:D35"/>
    <mergeCell ref="O35:P35"/>
    <mergeCell ref="C34:D34"/>
    <mergeCell ref="O34:P34"/>
    <mergeCell ref="C33:D33"/>
    <mergeCell ref="O33:P33"/>
    <mergeCell ref="C38:D38"/>
    <mergeCell ref="O38:P38"/>
    <mergeCell ref="C37:D37"/>
    <mergeCell ref="O37:P37"/>
    <mergeCell ref="C36:D36"/>
    <mergeCell ref="O36:P36"/>
    <mergeCell ref="C41:D41"/>
    <mergeCell ref="O41:P41"/>
    <mergeCell ref="C40:D40"/>
    <mergeCell ref="O40:P40"/>
    <mergeCell ref="C39:D39"/>
    <mergeCell ref="O39:P39"/>
    <mergeCell ref="O43:P43"/>
    <mergeCell ref="C44:D44"/>
    <mergeCell ref="O44:P44"/>
    <mergeCell ref="C43:D43"/>
    <mergeCell ref="C42:D42"/>
    <mergeCell ref="O42:P42"/>
    <mergeCell ref="O48:P48"/>
    <mergeCell ref="C47:D47"/>
    <mergeCell ref="O45:P45"/>
    <mergeCell ref="C46:D46"/>
    <mergeCell ref="O46:P46"/>
    <mergeCell ref="C45:D45"/>
    <mergeCell ref="O53:P53"/>
    <mergeCell ref="B10:B11"/>
    <mergeCell ref="C53:D53"/>
    <mergeCell ref="O51:P51"/>
    <mergeCell ref="C52:D52"/>
    <mergeCell ref="O52:P52"/>
    <mergeCell ref="C51:D51"/>
    <mergeCell ref="O49:P49"/>
    <mergeCell ref="C10:D11"/>
    <mergeCell ref="F10:F11"/>
    <mergeCell ref="G10:G11"/>
    <mergeCell ref="C50:D50"/>
    <mergeCell ref="O50:P50"/>
    <mergeCell ref="C49:D49"/>
    <mergeCell ref="O47:P47"/>
    <mergeCell ref="C48:D48"/>
    <mergeCell ref="O17:P17"/>
    <mergeCell ref="C17:D17"/>
    <mergeCell ref="E10:E11"/>
    <mergeCell ref="O10:P11"/>
    <mergeCell ref="O15:P15"/>
    <mergeCell ref="O13:P13"/>
    <mergeCell ref="M10:N10"/>
    <mergeCell ref="C14:D14"/>
    <mergeCell ref="O14:P14"/>
    <mergeCell ref="C15:D15"/>
    <mergeCell ref="C13:D13"/>
    <mergeCell ref="O12:P12"/>
    <mergeCell ref="C12:D12"/>
    <mergeCell ref="B2:C2"/>
    <mergeCell ref="B3:C3"/>
    <mergeCell ref="B4:C4"/>
    <mergeCell ref="F2:I2"/>
    <mergeCell ref="F3:I3"/>
    <mergeCell ref="F4:I4"/>
  </mergeCells>
  <phoneticPr fontId="3"/>
  <pageMargins left="0.39370078740157483" right="0.39370078740157483" top="0.59055118110236227" bottom="0.59055118110236227" header="0.31496062992125984" footer="0.31496062992125984"/>
  <pageSetup paperSize="9" scale="71" orientation="landscape" r:id="rId1"/>
  <headerFooter>
    <oddFooter>&amp;P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6"/>
  <sheetViews>
    <sheetView showGridLines="0" view="pageBreakPreview" zoomScale="85" zoomScaleNormal="100" zoomScaleSheetLayoutView="85" workbookViewId="0">
      <pane ySplit="14" topLeftCell="A15" activePane="bottomLeft" state="frozen"/>
      <selection activeCell="BJ44" sqref="BJ44"/>
      <selection pane="bottomLeft"/>
    </sheetView>
  </sheetViews>
  <sheetFormatPr defaultColWidth="2.453125" defaultRowHeight="13" x14ac:dyDescent="0.2"/>
  <cols>
    <col min="1" max="1" width="2.26953125" style="9" bestFit="1" customWidth="1"/>
    <col min="2" max="2" width="16.08984375" style="9" bestFit="1" customWidth="1"/>
    <col min="3" max="3" width="16.36328125" style="9" customWidth="1"/>
    <col min="4" max="4" width="16.08984375" style="9" bestFit="1" customWidth="1"/>
    <col min="5" max="5" width="31.36328125" style="9" bestFit="1" customWidth="1"/>
    <col min="6" max="6" width="9.453125" style="9" bestFit="1" customWidth="1"/>
    <col min="7" max="7" width="15.36328125" style="9" bestFit="1" customWidth="1"/>
    <col min="8" max="8" width="7.453125" style="9" bestFit="1" customWidth="1"/>
    <col min="9" max="9" width="10.54296875" style="9" bestFit="1" customWidth="1"/>
    <col min="10" max="10" width="7.453125" style="9" bestFit="1" customWidth="1"/>
    <col min="11" max="11" width="10.54296875" style="9" bestFit="1" customWidth="1"/>
    <col min="12" max="16384" width="2.453125" style="9"/>
  </cols>
  <sheetData>
    <row r="1" spans="1:12" x14ac:dyDescent="0.2">
      <c r="A1" s="1"/>
      <c r="B1" s="1"/>
      <c r="C1" s="1"/>
      <c r="D1" s="1"/>
      <c r="E1" s="1"/>
      <c r="F1" s="1"/>
      <c r="G1" s="1"/>
      <c r="H1" s="1"/>
      <c r="I1" s="1"/>
      <c r="J1" s="1"/>
      <c r="K1" s="1"/>
      <c r="L1" s="1"/>
    </row>
    <row r="2" spans="1:12" x14ac:dyDescent="0.2">
      <c r="A2" s="1"/>
      <c r="B2" s="58" t="s">
        <v>1</v>
      </c>
      <c r="C2" s="62" t="str">
        <f>表紙!H5</f>
        <v>BSPS</v>
      </c>
      <c r="D2" s="58" t="s">
        <v>2</v>
      </c>
      <c r="E2" s="59" t="str">
        <f>表紙!T5</f>
        <v>バトルポータルシュミレーター</v>
      </c>
      <c r="F2" s="75"/>
      <c r="G2" s="75"/>
      <c r="H2" s="76"/>
      <c r="I2" s="77"/>
      <c r="J2" s="58" t="s">
        <v>15</v>
      </c>
      <c r="K2" s="61">
        <f>表紙!N14</f>
        <v>1</v>
      </c>
      <c r="L2" s="1"/>
    </row>
    <row r="3" spans="1:12" x14ac:dyDescent="0.2">
      <c r="A3" s="1"/>
      <c r="B3" s="58" t="s">
        <v>4</v>
      </c>
      <c r="C3" s="62" t="str">
        <f>表紙!H6</f>
        <v>PK</v>
      </c>
      <c r="D3" s="58" t="s">
        <v>6</v>
      </c>
      <c r="E3" s="59" t="str">
        <f>表紙!T6</f>
        <v>ポータル</v>
      </c>
      <c r="F3" s="75"/>
      <c r="G3" s="75"/>
      <c r="H3" s="63" t="s">
        <v>11</v>
      </c>
      <c r="I3" s="69" t="str">
        <f>表紙!N10</f>
        <v>須賀</v>
      </c>
      <c r="J3" s="58" t="s">
        <v>13</v>
      </c>
      <c r="K3" s="59" t="str">
        <f>表紙!N12</f>
        <v>須賀</v>
      </c>
      <c r="L3" s="1"/>
    </row>
    <row r="4" spans="1:12" x14ac:dyDescent="0.2">
      <c r="A4" s="1"/>
      <c r="B4" s="58" t="s">
        <v>8</v>
      </c>
      <c r="C4" s="62" t="str">
        <f>表紙!H7</f>
        <v>BSPSFRPK01</v>
      </c>
      <c r="D4" s="58" t="s">
        <v>9</v>
      </c>
      <c r="E4" s="59" t="str">
        <f>表紙!T7</f>
        <v>共通エリア</v>
      </c>
      <c r="F4" s="75"/>
      <c r="G4" s="75"/>
      <c r="H4" s="63" t="s">
        <v>12</v>
      </c>
      <c r="I4" s="68">
        <f>表紙!N11</f>
        <v>44471</v>
      </c>
      <c r="J4" s="58" t="s">
        <v>13</v>
      </c>
      <c r="K4" s="60">
        <f>表紙!N13</f>
        <v>44471</v>
      </c>
      <c r="L4" s="1"/>
    </row>
    <row r="5" spans="1:12" x14ac:dyDescent="0.2">
      <c r="A5" s="1"/>
      <c r="B5" s="1"/>
      <c r="C5" s="1"/>
      <c r="D5" s="1"/>
      <c r="E5" s="1"/>
      <c r="F5" s="1"/>
      <c r="G5" s="1"/>
      <c r="H5" s="1"/>
      <c r="I5" s="1"/>
      <c r="J5" s="1"/>
      <c r="K5" s="1"/>
      <c r="L5" s="1"/>
    </row>
    <row r="6" spans="1:12" s="1" customFormat="1" x14ac:dyDescent="0.2">
      <c r="B6" s="111" t="s">
        <v>148</v>
      </c>
      <c r="C6" s="111"/>
      <c r="D6" s="111"/>
      <c r="E6" s="111"/>
      <c r="F6" s="111"/>
      <c r="G6" s="111"/>
      <c r="H6" s="111"/>
      <c r="I6" s="111"/>
      <c r="J6" s="111"/>
      <c r="K6" s="111"/>
      <c r="L6" s="111"/>
    </row>
    <row r="7" spans="1:12" s="1" customFormat="1" x14ac:dyDescent="0.2">
      <c r="B7" s="137" t="s">
        <v>149</v>
      </c>
      <c r="C7" s="138"/>
      <c r="D7" s="138"/>
      <c r="E7" s="138"/>
      <c r="F7" s="138"/>
      <c r="G7" s="138"/>
      <c r="H7" s="138"/>
      <c r="I7" s="138"/>
      <c r="J7" s="138"/>
      <c r="K7" s="138"/>
      <c r="L7" s="138"/>
    </row>
    <row r="8" spans="1:12" s="1" customFormat="1" x14ac:dyDescent="0.2">
      <c r="B8" s="137" t="s">
        <v>150</v>
      </c>
      <c r="C8" s="138"/>
      <c r="D8" s="138"/>
      <c r="E8" s="138"/>
      <c r="F8" s="138"/>
      <c r="G8" s="138"/>
      <c r="H8" s="138"/>
      <c r="I8" s="138"/>
      <c r="J8" s="138"/>
      <c r="K8" s="138"/>
      <c r="L8" s="138"/>
    </row>
    <row r="9" spans="1:12" s="1" customFormat="1" x14ac:dyDescent="0.2">
      <c r="B9" s="137" t="s">
        <v>151</v>
      </c>
      <c r="C9" s="138"/>
      <c r="D9" s="138"/>
      <c r="E9" s="138"/>
      <c r="F9" s="138"/>
      <c r="G9" s="138"/>
      <c r="H9" s="138"/>
      <c r="I9" s="138"/>
      <c r="J9" s="138"/>
      <c r="K9" s="138"/>
      <c r="L9" s="138"/>
    </row>
    <row r="10" spans="1:12" s="1" customFormat="1" x14ac:dyDescent="0.2">
      <c r="B10" s="18"/>
      <c r="C10" s="18"/>
      <c r="D10" s="18"/>
      <c r="E10" s="18"/>
      <c r="F10" s="18"/>
      <c r="G10" s="18"/>
      <c r="H10" s="18"/>
      <c r="I10" s="18"/>
      <c r="J10" s="18"/>
      <c r="K10" s="18"/>
      <c r="L10" s="18"/>
    </row>
    <row r="12" spans="1:12" s="15" customFormat="1" x14ac:dyDescent="0.2">
      <c r="B12" s="141" t="s">
        <v>39</v>
      </c>
      <c r="C12" s="146" t="s">
        <v>40</v>
      </c>
      <c r="D12" s="152" t="s">
        <v>152</v>
      </c>
      <c r="E12" s="152"/>
      <c r="F12" s="148" t="s">
        <v>153</v>
      </c>
      <c r="G12" s="148"/>
      <c r="H12" s="148"/>
      <c r="I12" s="148"/>
      <c r="J12" s="148"/>
      <c r="K12" s="148"/>
      <c r="L12" s="148"/>
    </row>
    <row r="13" spans="1:12" s="15" customFormat="1" x14ac:dyDescent="0.2">
      <c r="B13" s="141"/>
      <c r="C13" s="146"/>
      <c r="D13" s="153" t="s">
        <v>154</v>
      </c>
      <c r="E13" s="154"/>
      <c r="F13" s="149" t="s">
        <v>155</v>
      </c>
      <c r="G13" s="150" t="s">
        <v>156</v>
      </c>
      <c r="H13" s="151"/>
      <c r="I13" s="151"/>
      <c r="J13" s="151"/>
      <c r="K13" s="151"/>
      <c r="L13" s="151"/>
    </row>
    <row r="14" spans="1:12" s="15" customFormat="1" ht="30" customHeight="1" x14ac:dyDescent="0.2">
      <c r="B14" s="141"/>
      <c r="C14" s="146"/>
      <c r="D14" s="74" t="s">
        <v>157</v>
      </c>
      <c r="E14" s="74" t="s">
        <v>158</v>
      </c>
      <c r="F14" s="149"/>
      <c r="G14" s="72" t="s">
        <v>159</v>
      </c>
      <c r="H14" s="20"/>
      <c r="I14" s="20"/>
      <c r="J14" s="19"/>
      <c r="K14" s="19"/>
      <c r="L14" s="19"/>
    </row>
    <row r="15" spans="1:12" ht="13.5" customHeight="1" x14ac:dyDescent="0.2">
      <c r="A15" s="9" t="s">
        <v>160</v>
      </c>
      <c r="B15" s="71" t="s">
        <v>53</v>
      </c>
      <c r="C15" s="65" t="s">
        <v>54</v>
      </c>
      <c r="D15" s="73" t="s">
        <v>79</v>
      </c>
      <c r="E15" s="73" t="s">
        <v>79</v>
      </c>
      <c r="F15" s="73" t="s">
        <v>79</v>
      </c>
      <c r="G15" s="73" t="s">
        <v>79</v>
      </c>
      <c r="H15" s="17"/>
      <c r="I15" s="17"/>
      <c r="J15" s="17"/>
      <c r="K15" s="17"/>
      <c r="L15" s="17"/>
    </row>
    <row r="16" spans="1:12" x14ac:dyDescent="0.2">
      <c r="B16" s="70" t="s">
        <v>56</v>
      </c>
      <c r="C16" s="64" t="s">
        <v>57</v>
      </c>
      <c r="D16" s="62" t="s">
        <v>79</v>
      </c>
      <c r="E16" s="62" t="s">
        <v>79</v>
      </c>
      <c r="F16" s="62" t="s">
        <v>79</v>
      </c>
      <c r="G16" s="62" t="s">
        <v>55</v>
      </c>
      <c r="H16" s="16"/>
      <c r="I16" s="16"/>
      <c r="J16" s="16"/>
      <c r="K16" s="16"/>
      <c r="L16" s="16"/>
    </row>
    <row r="17" spans="2:12" x14ac:dyDescent="0.2">
      <c r="B17" s="70" t="s">
        <v>59</v>
      </c>
      <c r="C17" s="64" t="s">
        <v>60</v>
      </c>
      <c r="D17" s="62" t="s">
        <v>55</v>
      </c>
      <c r="E17" s="62" t="s">
        <v>79</v>
      </c>
      <c r="F17" s="62" t="s">
        <v>79</v>
      </c>
      <c r="G17" s="62" t="s">
        <v>55</v>
      </c>
      <c r="H17" s="16"/>
      <c r="I17" s="16"/>
      <c r="J17" s="16"/>
      <c r="K17" s="16"/>
      <c r="L17" s="16"/>
    </row>
    <row r="18" spans="2:12" x14ac:dyDescent="0.2">
      <c r="B18" s="70" t="s">
        <v>63</v>
      </c>
      <c r="C18" s="64" t="s">
        <v>64</v>
      </c>
      <c r="D18" s="62" t="s">
        <v>79</v>
      </c>
      <c r="E18" s="62" t="s">
        <v>55</v>
      </c>
      <c r="F18" s="62" t="s">
        <v>55</v>
      </c>
      <c r="G18" s="62" t="s">
        <v>161</v>
      </c>
      <c r="H18" s="16"/>
      <c r="I18" s="16"/>
      <c r="J18" s="16"/>
      <c r="K18" s="16"/>
      <c r="L18" s="16"/>
    </row>
    <row r="19" spans="2:12" x14ac:dyDescent="0.2">
      <c r="B19" s="70" t="s">
        <v>289</v>
      </c>
      <c r="C19" s="64" t="s">
        <v>295</v>
      </c>
      <c r="D19" s="62" t="s">
        <v>79</v>
      </c>
      <c r="E19" s="62" t="s">
        <v>55</v>
      </c>
      <c r="F19" s="62" t="s">
        <v>55</v>
      </c>
      <c r="G19" s="62" t="s">
        <v>161</v>
      </c>
      <c r="H19" s="16"/>
      <c r="I19" s="16"/>
      <c r="J19" s="16"/>
      <c r="K19" s="16"/>
      <c r="L19" s="16"/>
    </row>
    <row r="20" spans="2:12" x14ac:dyDescent="0.2">
      <c r="B20" s="70" t="s">
        <v>290</v>
      </c>
      <c r="C20" s="64" t="s">
        <v>288</v>
      </c>
      <c r="D20" s="62" t="s">
        <v>79</v>
      </c>
      <c r="E20" s="62" t="s">
        <v>55</v>
      </c>
      <c r="F20" s="62" t="s">
        <v>55</v>
      </c>
      <c r="G20" s="62" t="s">
        <v>161</v>
      </c>
      <c r="H20" s="16"/>
      <c r="I20" s="16"/>
      <c r="J20" s="16"/>
      <c r="K20" s="16"/>
      <c r="L20" s="16"/>
    </row>
    <row r="21" spans="2:12" x14ac:dyDescent="0.2">
      <c r="B21" s="70" t="s">
        <v>291</v>
      </c>
      <c r="C21" s="64" t="s">
        <v>69</v>
      </c>
      <c r="D21" s="62" t="s">
        <v>79</v>
      </c>
      <c r="E21" s="62" t="s">
        <v>55</v>
      </c>
      <c r="F21" s="62" t="s">
        <v>55</v>
      </c>
      <c r="G21" s="62" t="s">
        <v>161</v>
      </c>
      <c r="H21" s="16"/>
      <c r="I21" s="16"/>
      <c r="J21" s="16"/>
      <c r="K21" s="16"/>
      <c r="L21" s="16"/>
    </row>
    <row r="22" spans="2:12" x14ac:dyDescent="0.2">
      <c r="B22" s="70" t="s">
        <v>292</v>
      </c>
      <c r="C22" s="64" t="s">
        <v>68</v>
      </c>
      <c r="D22" s="62" t="s">
        <v>79</v>
      </c>
      <c r="E22" s="62" t="s">
        <v>55</v>
      </c>
      <c r="F22" s="62" t="s">
        <v>55</v>
      </c>
      <c r="G22" s="62" t="s">
        <v>161</v>
      </c>
      <c r="H22" s="16"/>
      <c r="I22" s="16"/>
      <c r="J22" s="16"/>
      <c r="K22" s="16"/>
      <c r="L22" s="16"/>
    </row>
    <row r="23" spans="2:12" x14ac:dyDescent="0.2">
      <c r="B23" s="70" t="s">
        <v>293</v>
      </c>
      <c r="C23" s="64" t="s">
        <v>70</v>
      </c>
      <c r="D23" s="62" t="s">
        <v>79</v>
      </c>
      <c r="E23" s="62" t="s">
        <v>55</v>
      </c>
      <c r="F23" s="62" t="s">
        <v>55</v>
      </c>
      <c r="G23" s="62" t="s">
        <v>161</v>
      </c>
      <c r="H23" s="16"/>
      <c r="I23" s="16"/>
      <c r="J23" s="16"/>
      <c r="K23" s="16"/>
      <c r="L23" s="16"/>
    </row>
    <row r="24" spans="2:12" x14ac:dyDescent="0.2">
      <c r="B24" s="70" t="s">
        <v>294</v>
      </c>
      <c r="C24" s="64" t="s">
        <v>71</v>
      </c>
      <c r="D24" s="62" t="s">
        <v>79</v>
      </c>
      <c r="E24" s="62" t="s">
        <v>55</v>
      </c>
      <c r="F24" s="62" t="s">
        <v>55</v>
      </c>
      <c r="G24" s="62" t="s">
        <v>161</v>
      </c>
      <c r="H24" s="16"/>
      <c r="I24" s="16"/>
      <c r="J24" s="16"/>
      <c r="K24" s="16"/>
      <c r="L24" s="16"/>
    </row>
    <row r="25" spans="2:12" x14ac:dyDescent="0.2">
      <c r="B25" s="70" t="s">
        <v>296</v>
      </c>
      <c r="C25" s="64" t="s">
        <v>72</v>
      </c>
      <c r="D25" s="62" t="s">
        <v>79</v>
      </c>
      <c r="E25" s="62" t="s">
        <v>55</v>
      </c>
      <c r="F25" s="62" t="s">
        <v>55</v>
      </c>
      <c r="G25" s="62" t="s">
        <v>161</v>
      </c>
      <c r="H25" s="16"/>
      <c r="I25" s="16"/>
      <c r="J25" s="16"/>
      <c r="K25" s="16"/>
      <c r="L25" s="16"/>
    </row>
    <row r="26" spans="2:12" x14ac:dyDescent="0.2">
      <c r="B26" s="71" t="s">
        <v>73</v>
      </c>
      <c r="C26" s="65" t="s">
        <v>74</v>
      </c>
      <c r="D26" s="73" t="s">
        <v>79</v>
      </c>
      <c r="E26" s="73" t="s">
        <v>79</v>
      </c>
      <c r="F26" s="73" t="s">
        <v>79</v>
      </c>
      <c r="G26" s="73" t="s">
        <v>55</v>
      </c>
      <c r="H26" s="17"/>
      <c r="I26" s="17"/>
      <c r="J26" s="17"/>
      <c r="K26" s="17"/>
      <c r="L26" s="17"/>
    </row>
    <row r="27" spans="2:12" x14ac:dyDescent="0.2">
      <c r="B27" s="70" t="s">
        <v>76</v>
      </c>
      <c r="C27" s="64" t="s">
        <v>77</v>
      </c>
      <c r="D27" s="62" t="s">
        <v>79</v>
      </c>
      <c r="E27" s="62" t="s">
        <v>79</v>
      </c>
      <c r="F27" s="62" t="s">
        <v>79</v>
      </c>
      <c r="G27" s="62" t="s">
        <v>55</v>
      </c>
      <c r="H27" s="16"/>
      <c r="I27" s="16"/>
      <c r="J27" s="16"/>
      <c r="K27" s="16"/>
      <c r="L27" s="16"/>
    </row>
    <row r="28" spans="2:12" x14ac:dyDescent="0.2">
      <c r="B28" s="70" t="s">
        <v>81</v>
      </c>
      <c r="C28" s="64" t="s">
        <v>82</v>
      </c>
      <c r="D28" s="62" t="s">
        <v>79</v>
      </c>
      <c r="E28" s="62" t="s">
        <v>79</v>
      </c>
      <c r="F28" s="62" t="s">
        <v>79</v>
      </c>
      <c r="G28" s="62" t="s">
        <v>55</v>
      </c>
      <c r="H28" s="16"/>
      <c r="I28" s="16"/>
      <c r="J28" s="16"/>
      <c r="K28" s="16"/>
      <c r="L28" s="16"/>
    </row>
    <row r="29" spans="2:12" x14ac:dyDescent="0.2">
      <c r="B29" s="70" t="s">
        <v>84</v>
      </c>
      <c r="C29" s="64" t="s">
        <v>85</v>
      </c>
      <c r="D29" s="62" t="s">
        <v>79</v>
      </c>
      <c r="E29" s="62" t="s">
        <v>79</v>
      </c>
      <c r="F29" s="62" t="s">
        <v>79</v>
      </c>
      <c r="G29" s="62" t="s">
        <v>55</v>
      </c>
      <c r="H29" s="16"/>
      <c r="I29" s="16"/>
      <c r="J29" s="16"/>
      <c r="K29" s="16"/>
      <c r="L29" s="16"/>
    </row>
    <row r="30" spans="2:12" x14ac:dyDescent="0.2">
      <c r="B30" s="70" t="s">
        <v>88</v>
      </c>
      <c r="C30" s="64" t="s">
        <v>89</v>
      </c>
      <c r="D30" s="62" t="s">
        <v>79</v>
      </c>
      <c r="E30" s="62" t="s">
        <v>79</v>
      </c>
      <c r="F30" s="62" t="s">
        <v>79</v>
      </c>
      <c r="G30" s="62" t="s">
        <v>55</v>
      </c>
      <c r="H30" s="16"/>
      <c r="I30" s="16"/>
      <c r="J30" s="16"/>
      <c r="K30" s="16"/>
      <c r="L30" s="16"/>
    </row>
    <row r="31" spans="2:12" x14ac:dyDescent="0.2">
      <c r="B31" s="70" t="s">
        <v>90</v>
      </c>
      <c r="C31" s="64" t="s">
        <v>91</v>
      </c>
      <c r="D31" s="62" t="s">
        <v>79</v>
      </c>
      <c r="E31" s="62" t="s">
        <v>79</v>
      </c>
      <c r="F31" s="62" t="s">
        <v>79</v>
      </c>
      <c r="G31" s="62" t="s">
        <v>55</v>
      </c>
      <c r="H31" s="16"/>
      <c r="I31" s="16"/>
      <c r="J31" s="16"/>
      <c r="K31" s="16"/>
      <c r="L31" s="16"/>
    </row>
    <row r="32" spans="2:12" x14ac:dyDescent="0.2">
      <c r="B32" s="70" t="s">
        <v>92</v>
      </c>
      <c r="C32" s="64" t="s">
        <v>93</v>
      </c>
      <c r="D32" s="62" t="s">
        <v>79</v>
      </c>
      <c r="E32" s="62" t="s">
        <v>79</v>
      </c>
      <c r="F32" s="62" t="s">
        <v>79</v>
      </c>
      <c r="G32" s="62" t="s">
        <v>55</v>
      </c>
      <c r="H32" s="16"/>
      <c r="I32" s="16"/>
      <c r="J32" s="16"/>
      <c r="K32" s="16"/>
      <c r="L32" s="16"/>
    </row>
    <row r="33" spans="2:12" x14ac:dyDescent="0.2">
      <c r="B33" s="70" t="s">
        <v>94</v>
      </c>
      <c r="C33" s="64" t="s">
        <v>95</v>
      </c>
      <c r="D33" s="62" t="s">
        <v>79</v>
      </c>
      <c r="E33" s="62" t="s">
        <v>79</v>
      </c>
      <c r="F33" s="62" t="s">
        <v>79</v>
      </c>
      <c r="G33" s="62" t="s">
        <v>55</v>
      </c>
      <c r="H33" s="16"/>
      <c r="I33" s="16"/>
      <c r="J33" s="16"/>
      <c r="K33" s="16"/>
      <c r="L33" s="16"/>
    </row>
    <row r="34" spans="2:12" x14ac:dyDescent="0.2">
      <c r="B34" s="70" t="s">
        <v>96</v>
      </c>
      <c r="C34" s="64" t="s">
        <v>97</v>
      </c>
      <c r="D34" s="62" t="s">
        <v>79</v>
      </c>
      <c r="E34" s="62" t="s">
        <v>79</v>
      </c>
      <c r="F34" s="62" t="s">
        <v>79</v>
      </c>
      <c r="G34" s="62" t="s">
        <v>55</v>
      </c>
      <c r="H34" s="16"/>
      <c r="I34" s="16"/>
      <c r="J34" s="16"/>
      <c r="K34" s="16"/>
      <c r="L34" s="16"/>
    </row>
    <row r="35" spans="2:12" x14ac:dyDescent="0.2">
      <c r="B35" s="70" t="s">
        <v>98</v>
      </c>
      <c r="C35" s="64" t="s">
        <v>99</v>
      </c>
      <c r="D35" s="62" t="s">
        <v>79</v>
      </c>
      <c r="E35" s="62" t="s">
        <v>79</v>
      </c>
      <c r="F35" s="62" t="s">
        <v>79</v>
      </c>
      <c r="G35" s="62" t="s">
        <v>55</v>
      </c>
      <c r="H35" s="16"/>
      <c r="I35" s="16"/>
      <c r="J35" s="16"/>
      <c r="K35" s="16"/>
      <c r="L35" s="16"/>
    </row>
    <row r="36" spans="2:12" x14ac:dyDescent="0.2">
      <c r="B36" s="70" t="s">
        <v>100</v>
      </c>
      <c r="C36" s="64" t="s">
        <v>99</v>
      </c>
      <c r="D36" s="62" t="s">
        <v>79</v>
      </c>
      <c r="E36" s="62" t="s">
        <v>79</v>
      </c>
      <c r="F36" s="62" t="s">
        <v>79</v>
      </c>
      <c r="G36" s="62" t="s">
        <v>55</v>
      </c>
      <c r="H36" s="16"/>
      <c r="I36" s="16"/>
      <c r="J36" s="16"/>
      <c r="K36" s="16"/>
      <c r="L36" s="16"/>
    </row>
    <row r="37" spans="2:12" x14ac:dyDescent="0.2">
      <c r="B37" s="70" t="s">
        <v>103</v>
      </c>
      <c r="C37" s="64" t="s">
        <v>104</v>
      </c>
      <c r="D37" s="62" t="s">
        <v>79</v>
      </c>
      <c r="E37" s="62" t="s">
        <v>79</v>
      </c>
      <c r="F37" s="62" t="s">
        <v>79</v>
      </c>
      <c r="G37" s="62" t="s">
        <v>55</v>
      </c>
      <c r="H37" s="16"/>
      <c r="I37" s="16"/>
      <c r="J37" s="16"/>
      <c r="K37" s="16"/>
      <c r="L37" s="16"/>
    </row>
    <row r="38" spans="2:12" x14ac:dyDescent="0.2">
      <c r="B38" s="70" t="s">
        <v>105</v>
      </c>
      <c r="C38" s="64" t="s">
        <v>104</v>
      </c>
      <c r="D38" s="62" t="s">
        <v>79</v>
      </c>
      <c r="E38" s="62" t="s">
        <v>79</v>
      </c>
      <c r="F38" s="62" t="s">
        <v>79</v>
      </c>
      <c r="G38" s="62" t="s">
        <v>55</v>
      </c>
      <c r="H38" s="16"/>
      <c r="I38" s="16"/>
      <c r="J38" s="16"/>
      <c r="K38" s="16"/>
      <c r="L38" s="16"/>
    </row>
    <row r="39" spans="2:12" x14ac:dyDescent="0.2">
      <c r="B39" s="70" t="s">
        <v>107</v>
      </c>
      <c r="C39" s="64" t="s">
        <v>108</v>
      </c>
      <c r="D39" s="62" t="s">
        <v>79</v>
      </c>
      <c r="E39" s="62" t="s">
        <v>79</v>
      </c>
      <c r="F39" s="62" t="s">
        <v>79</v>
      </c>
      <c r="G39" s="62" t="s">
        <v>55</v>
      </c>
      <c r="H39" s="16"/>
      <c r="I39" s="16"/>
      <c r="J39" s="16"/>
      <c r="K39" s="16"/>
      <c r="L39" s="16"/>
    </row>
    <row r="40" spans="2:12" x14ac:dyDescent="0.2">
      <c r="B40" s="70" t="s">
        <v>109</v>
      </c>
      <c r="C40" s="64" t="s">
        <v>108</v>
      </c>
      <c r="D40" s="62" t="s">
        <v>79</v>
      </c>
      <c r="E40" s="62" t="s">
        <v>79</v>
      </c>
      <c r="F40" s="62" t="s">
        <v>79</v>
      </c>
      <c r="G40" s="62" t="s">
        <v>55</v>
      </c>
      <c r="H40" s="16"/>
      <c r="I40" s="16"/>
      <c r="J40" s="16"/>
      <c r="K40" s="16"/>
      <c r="L40" s="16"/>
    </row>
    <row r="41" spans="2:12" x14ac:dyDescent="0.2">
      <c r="B41" s="70" t="s">
        <v>111</v>
      </c>
      <c r="C41" s="64" t="s">
        <v>112</v>
      </c>
      <c r="D41" s="62" t="s">
        <v>79</v>
      </c>
      <c r="E41" s="62" t="s">
        <v>79</v>
      </c>
      <c r="F41" s="62" t="s">
        <v>79</v>
      </c>
      <c r="G41" s="62" t="s">
        <v>55</v>
      </c>
      <c r="H41" s="16"/>
      <c r="I41" s="16"/>
      <c r="J41" s="16"/>
      <c r="K41" s="16"/>
      <c r="L41" s="16"/>
    </row>
    <row r="42" spans="2:12" x14ac:dyDescent="0.2">
      <c r="B42" s="70" t="s">
        <v>113</v>
      </c>
      <c r="C42" s="64" t="s">
        <v>114</v>
      </c>
      <c r="D42" s="62" t="s">
        <v>79</v>
      </c>
      <c r="E42" s="62" t="s">
        <v>79</v>
      </c>
      <c r="F42" s="62" t="s">
        <v>79</v>
      </c>
      <c r="G42" s="62" t="s">
        <v>55</v>
      </c>
      <c r="H42" s="16"/>
      <c r="I42" s="16"/>
      <c r="J42" s="16"/>
      <c r="K42" s="16"/>
      <c r="L42" s="16"/>
    </row>
    <row r="43" spans="2:12" x14ac:dyDescent="0.2">
      <c r="B43" s="70" t="s">
        <v>118</v>
      </c>
      <c r="C43" s="64" t="s">
        <v>119</v>
      </c>
      <c r="D43" s="62" t="s">
        <v>79</v>
      </c>
      <c r="E43" s="62" t="s">
        <v>79</v>
      </c>
      <c r="F43" s="62" t="s">
        <v>79</v>
      </c>
      <c r="G43" s="62" t="s">
        <v>55</v>
      </c>
      <c r="H43" s="16"/>
      <c r="I43" s="16"/>
      <c r="J43" s="16"/>
      <c r="K43" s="16"/>
      <c r="L43" s="16"/>
    </row>
    <row r="44" spans="2:12" x14ac:dyDescent="0.2">
      <c r="B44" s="70" t="s">
        <v>120</v>
      </c>
      <c r="C44" s="64" t="s">
        <v>121</v>
      </c>
      <c r="D44" s="62" t="s">
        <v>79</v>
      </c>
      <c r="E44" s="62" t="s">
        <v>79</v>
      </c>
      <c r="F44" s="62" t="s">
        <v>79</v>
      </c>
      <c r="G44" s="62" t="s">
        <v>55</v>
      </c>
      <c r="H44" s="16"/>
      <c r="I44" s="16"/>
      <c r="J44" s="16"/>
      <c r="K44" s="16"/>
      <c r="L44" s="16"/>
    </row>
    <row r="45" spans="2:12" x14ac:dyDescent="0.2">
      <c r="B45" s="70" t="s">
        <v>122</v>
      </c>
      <c r="C45" s="64" t="s">
        <v>123</v>
      </c>
      <c r="D45" s="62" t="s">
        <v>79</v>
      </c>
      <c r="E45" s="62" t="s">
        <v>79</v>
      </c>
      <c r="F45" s="62" t="s">
        <v>79</v>
      </c>
      <c r="G45" s="62" t="s">
        <v>55</v>
      </c>
      <c r="H45" s="16"/>
      <c r="I45" s="16"/>
      <c r="J45" s="16"/>
      <c r="K45" s="16"/>
      <c r="L45" s="16"/>
    </row>
    <row r="46" spans="2:12" x14ac:dyDescent="0.2">
      <c r="B46" s="70" t="s">
        <v>124</v>
      </c>
      <c r="C46" s="64" t="s">
        <v>123</v>
      </c>
      <c r="D46" s="62" t="s">
        <v>79</v>
      </c>
      <c r="E46" s="62" t="s">
        <v>79</v>
      </c>
      <c r="F46" s="62" t="s">
        <v>79</v>
      </c>
      <c r="G46" s="62" t="s">
        <v>55</v>
      </c>
      <c r="H46" s="16"/>
      <c r="I46" s="16"/>
      <c r="J46" s="16"/>
      <c r="K46" s="16"/>
      <c r="L46" s="16"/>
    </row>
    <row r="47" spans="2:12" x14ac:dyDescent="0.2">
      <c r="B47" s="70" t="s">
        <v>126</v>
      </c>
      <c r="C47" s="64" t="s">
        <v>127</v>
      </c>
      <c r="D47" s="62" t="s">
        <v>79</v>
      </c>
      <c r="E47" s="62" t="s">
        <v>79</v>
      </c>
      <c r="F47" s="62" t="s">
        <v>79</v>
      </c>
      <c r="G47" s="62" t="s">
        <v>55</v>
      </c>
      <c r="H47" s="16"/>
      <c r="I47" s="16"/>
      <c r="J47" s="16"/>
      <c r="K47" s="16"/>
      <c r="L47" s="16"/>
    </row>
    <row r="48" spans="2:12" x14ac:dyDescent="0.2">
      <c r="B48" s="70" t="s">
        <v>128</v>
      </c>
      <c r="C48" s="64" t="s">
        <v>127</v>
      </c>
      <c r="D48" s="62" t="s">
        <v>79</v>
      </c>
      <c r="E48" s="62" t="s">
        <v>79</v>
      </c>
      <c r="F48" s="62" t="s">
        <v>79</v>
      </c>
      <c r="G48" s="62" t="s">
        <v>55</v>
      </c>
      <c r="H48" s="16"/>
      <c r="I48" s="16"/>
      <c r="J48" s="16"/>
      <c r="K48" s="16"/>
      <c r="L48" s="16"/>
    </row>
    <row r="49" spans="2:12" x14ac:dyDescent="0.2">
      <c r="B49" s="70" t="s">
        <v>130</v>
      </c>
      <c r="C49" s="64" t="s">
        <v>131</v>
      </c>
      <c r="D49" s="62" t="s">
        <v>79</v>
      </c>
      <c r="E49" s="62" t="s">
        <v>79</v>
      </c>
      <c r="F49" s="62" t="s">
        <v>79</v>
      </c>
      <c r="G49" s="62" t="s">
        <v>55</v>
      </c>
      <c r="H49" s="16"/>
      <c r="I49" s="16"/>
      <c r="J49" s="16"/>
      <c r="K49" s="16"/>
      <c r="L49" s="16"/>
    </row>
    <row r="50" spans="2:12" x14ac:dyDescent="0.2">
      <c r="B50" s="70" t="s">
        <v>132</v>
      </c>
      <c r="C50" s="64" t="s">
        <v>131</v>
      </c>
      <c r="D50" s="62" t="s">
        <v>79</v>
      </c>
      <c r="E50" s="62" t="s">
        <v>79</v>
      </c>
      <c r="F50" s="62" t="s">
        <v>79</v>
      </c>
      <c r="G50" s="62" t="s">
        <v>55</v>
      </c>
      <c r="H50" s="16"/>
      <c r="I50" s="16"/>
      <c r="J50" s="16"/>
      <c r="K50" s="16"/>
      <c r="L50" s="16"/>
    </row>
    <row r="51" spans="2:12" x14ac:dyDescent="0.2">
      <c r="B51" s="70" t="s">
        <v>134</v>
      </c>
      <c r="C51" s="64" t="s">
        <v>135</v>
      </c>
      <c r="D51" s="62" t="s">
        <v>79</v>
      </c>
      <c r="E51" s="62" t="s">
        <v>79</v>
      </c>
      <c r="F51" s="62" t="s">
        <v>79</v>
      </c>
      <c r="G51" s="62" t="s">
        <v>55</v>
      </c>
      <c r="H51" s="16"/>
      <c r="I51" s="16"/>
      <c r="J51" s="16"/>
      <c r="K51" s="16"/>
      <c r="L51" s="16"/>
    </row>
    <row r="52" spans="2:12" x14ac:dyDescent="0.2">
      <c r="B52" s="70" t="s">
        <v>136</v>
      </c>
      <c r="C52" s="64" t="s">
        <v>135</v>
      </c>
      <c r="D52" s="62" t="s">
        <v>79</v>
      </c>
      <c r="E52" s="62" t="s">
        <v>79</v>
      </c>
      <c r="F52" s="62" t="s">
        <v>79</v>
      </c>
      <c r="G52" s="62" t="s">
        <v>55</v>
      </c>
      <c r="H52" s="16"/>
      <c r="I52" s="16"/>
      <c r="J52" s="16"/>
      <c r="K52" s="16"/>
      <c r="L52" s="16"/>
    </row>
    <row r="53" spans="2:12" x14ac:dyDescent="0.2">
      <c r="B53" s="71" t="s">
        <v>138</v>
      </c>
      <c r="C53" s="65" t="s">
        <v>139</v>
      </c>
      <c r="D53" s="73" t="s">
        <v>79</v>
      </c>
      <c r="E53" s="73" t="s">
        <v>162</v>
      </c>
      <c r="F53" s="73" t="s">
        <v>79</v>
      </c>
      <c r="G53" s="73" t="s">
        <v>55</v>
      </c>
      <c r="H53" s="17"/>
      <c r="I53" s="17"/>
      <c r="J53" s="17"/>
      <c r="K53" s="17"/>
      <c r="L53" s="17"/>
    </row>
    <row r="54" spans="2:12" x14ac:dyDescent="0.2">
      <c r="B54" s="70" t="s">
        <v>141</v>
      </c>
      <c r="C54" s="64" t="s">
        <v>163</v>
      </c>
      <c r="D54" s="62" t="s">
        <v>79</v>
      </c>
      <c r="E54" s="62" t="s">
        <v>162</v>
      </c>
      <c r="F54" s="62" t="s">
        <v>79</v>
      </c>
      <c r="G54" s="62" t="s">
        <v>55</v>
      </c>
      <c r="H54" s="16"/>
      <c r="I54" s="16"/>
      <c r="J54" s="16"/>
      <c r="K54" s="16"/>
      <c r="L54" s="16"/>
    </row>
    <row r="55" spans="2:12" x14ac:dyDescent="0.2">
      <c r="B55" s="70" t="s">
        <v>143</v>
      </c>
      <c r="C55" s="64" t="s">
        <v>164</v>
      </c>
      <c r="D55" s="62" t="s">
        <v>79</v>
      </c>
      <c r="E55" s="62" t="s">
        <v>162</v>
      </c>
      <c r="F55" s="62" t="s">
        <v>79</v>
      </c>
      <c r="G55" s="62" t="s">
        <v>55</v>
      </c>
      <c r="H55" s="16"/>
      <c r="I55" s="16"/>
      <c r="J55" s="16"/>
      <c r="K55" s="16"/>
      <c r="L55" s="16"/>
    </row>
    <row r="56" spans="2:12" x14ac:dyDescent="0.2">
      <c r="B56" s="70" t="s">
        <v>146</v>
      </c>
      <c r="C56" s="64" t="s">
        <v>147</v>
      </c>
      <c r="D56" s="62" t="s">
        <v>79</v>
      </c>
      <c r="E56" s="62" t="s">
        <v>162</v>
      </c>
      <c r="F56" s="62" t="s">
        <v>79</v>
      </c>
      <c r="G56" s="62" t="s">
        <v>55</v>
      </c>
      <c r="H56" s="16"/>
      <c r="I56" s="16"/>
      <c r="J56" s="16"/>
      <c r="K56" s="16"/>
      <c r="L56" s="16"/>
    </row>
  </sheetData>
  <autoFilter ref="A14:L14" xr:uid="{768B57F1-0406-45EE-8BF2-C7521B77EA7A}"/>
  <mergeCells count="11">
    <mergeCell ref="B6:L6"/>
    <mergeCell ref="B9:L9"/>
    <mergeCell ref="F12:L12"/>
    <mergeCell ref="F13:F14"/>
    <mergeCell ref="G13:L13"/>
    <mergeCell ref="B12:B14"/>
    <mergeCell ref="C12:C14"/>
    <mergeCell ref="D12:E12"/>
    <mergeCell ref="B7:L7"/>
    <mergeCell ref="D13:E13"/>
    <mergeCell ref="B8:L8"/>
  </mergeCells>
  <phoneticPr fontId="3"/>
  <pageMargins left="0.39370078740157483" right="0.39370078740157483" top="0.59055118110236227" bottom="0.59055118110236227" header="0.31496062992125984" footer="0.31496062992125984"/>
  <pageSetup paperSize="9" scale="75" orientation="landscape" r:id="rId1"/>
  <headerFooter>
    <oddFooter>&amp;P / &amp;N ページ</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C2ECA-336B-4DA5-B0DC-6689B46BBF9E}">
  <dimension ref="B1:L22"/>
  <sheetViews>
    <sheetView showGridLines="0" tabSelected="1" view="pageBreakPreview" zoomScaleNormal="100" zoomScaleSheetLayoutView="100" workbookViewId="0">
      <pane ySplit="8" topLeftCell="A9" activePane="bottomLeft" state="frozen"/>
      <selection pane="bottomLeft"/>
    </sheetView>
  </sheetViews>
  <sheetFormatPr defaultColWidth="2.81640625" defaultRowHeight="13" x14ac:dyDescent="0.2"/>
  <cols>
    <col min="1" max="1" width="2.81640625" style="90" customWidth="1"/>
    <col min="2" max="3" width="15.6328125" style="90" bestFit="1" customWidth="1"/>
    <col min="4" max="4" width="24.1796875" style="90" bestFit="1" customWidth="1"/>
    <col min="5" max="5" width="32.81640625" style="90" bestFit="1" customWidth="1"/>
    <col min="6" max="6" width="49.90625" style="90" bestFit="1" customWidth="1"/>
    <col min="7" max="7" width="13.453125" style="90" bestFit="1" customWidth="1"/>
    <col min="8" max="8" width="47.81640625" style="90" bestFit="1" customWidth="1"/>
    <col min="9" max="9" width="27.453125" style="90" bestFit="1" customWidth="1"/>
    <col min="10" max="10" width="41.36328125" style="90" bestFit="1" customWidth="1"/>
    <col min="11" max="11" width="2.81640625" style="90" customWidth="1"/>
    <col min="12" max="16384" width="2.81640625" style="90"/>
  </cols>
  <sheetData>
    <row r="1" spans="2:12" s="109" customFormat="1" x14ac:dyDescent="0.2"/>
    <row r="2" spans="2:12" s="109" customFormat="1" x14ac:dyDescent="0.2">
      <c r="B2" s="78" t="s">
        <v>1</v>
      </c>
      <c r="C2" s="82" t="str">
        <f>表紙!H5</f>
        <v>BSPS</v>
      </c>
      <c r="D2" s="78" t="s">
        <v>2</v>
      </c>
      <c r="E2" s="79" t="str">
        <f>表紙!T5</f>
        <v>バトルポータルシュミレーター</v>
      </c>
      <c r="G2" s="76"/>
      <c r="H2" s="77"/>
      <c r="I2" s="78" t="s">
        <v>15</v>
      </c>
      <c r="J2" s="81">
        <f>表紙!N14</f>
        <v>1</v>
      </c>
    </row>
    <row r="3" spans="2:12" s="109" customFormat="1" x14ac:dyDescent="0.2">
      <c r="B3" s="78" t="s">
        <v>4</v>
      </c>
      <c r="C3" s="82" t="str">
        <f>表紙!H6</f>
        <v>PK</v>
      </c>
      <c r="D3" s="78" t="s">
        <v>6</v>
      </c>
      <c r="E3" s="79" t="str">
        <f>表紙!T6</f>
        <v>ポータル</v>
      </c>
      <c r="G3" s="83" t="s">
        <v>11</v>
      </c>
      <c r="H3" s="69" t="str">
        <f>表紙!N10</f>
        <v>須賀</v>
      </c>
      <c r="I3" s="78" t="s">
        <v>13</v>
      </c>
      <c r="J3" s="79" t="str">
        <f>表紙!N12</f>
        <v>須賀</v>
      </c>
    </row>
    <row r="4" spans="2:12" s="109" customFormat="1" x14ac:dyDescent="0.2">
      <c r="B4" s="78" t="s">
        <v>8</v>
      </c>
      <c r="C4" s="82" t="str">
        <f>表紙!H7</f>
        <v>BSPSFRPK01</v>
      </c>
      <c r="D4" s="78" t="s">
        <v>9</v>
      </c>
      <c r="E4" s="79" t="str">
        <f>表紙!T7</f>
        <v>共通エリア</v>
      </c>
      <c r="G4" s="83" t="s">
        <v>12</v>
      </c>
      <c r="H4" s="68">
        <f>表紙!N11</f>
        <v>44471</v>
      </c>
      <c r="I4" s="78" t="s">
        <v>13</v>
      </c>
      <c r="J4" s="80">
        <f>表紙!N13</f>
        <v>44471</v>
      </c>
    </row>
    <row r="5" spans="2:12" s="109" customFormat="1" x14ac:dyDescent="0.2">
      <c r="G5" s="110"/>
      <c r="H5" s="110"/>
      <c r="I5" s="110"/>
      <c r="J5" s="110"/>
      <c r="K5" s="110"/>
    </row>
    <row r="6" spans="2:12" s="91" customFormat="1" x14ac:dyDescent="0.2">
      <c r="B6" s="91" t="s">
        <v>330</v>
      </c>
      <c r="G6" s="92"/>
      <c r="H6" s="92"/>
      <c r="I6" s="92"/>
      <c r="J6" s="92"/>
      <c r="K6" s="92"/>
      <c r="L6" s="92"/>
    </row>
    <row r="7" spans="2:12" s="91" customFormat="1" x14ac:dyDescent="0.2">
      <c r="G7" s="92"/>
      <c r="H7" s="92"/>
      <c r="I7" s="92"/>
      <c r="J7" s="92"/>
      <c r="K7" s="92"/>
      <c r="L7" s="92"/>
    </row>
    <row r="8" spans="2:12" s="106" customFormat="1" x14ac:dyDescent="0.2">
      <c r="B8" s="108" t="s">
        <v>329</v>
      </c>
      <c r="C8" s="108" t="s">
        <v>328</v>
      </c>
      <c r="D8" s="108" t="s">
        <v>327</v>
      </c>
      <c r="E8" s="108" t="s">
        <v>165</v>
      </c>
      <c r="F8" s="108" t="s">
        <v>166</v>
      </c>
      <c r="G8" s="108" t="s">
        <v>167</v>
      </c>
      <c r="H8" s="108" t="s">
        <v>326</v>
      </c>
      <c r="I8" s="108" t="s">
        <v>325</v>
      </c>
      <c r="J8" s="107" t="s">
        <v>46</v>
      </c>
    </row>
    <row r="9" spans="2:12" s="93" customFormat="1" x14ac:dyDescent="0.2">
      <c r="B9" s="105" t="s">
        <v>311</v>
      </c>
      <c r="C9" s="99" t="s">
        <v>360</v>
      </c>
      <c r="D9" s="99" t="s">
        <v>65</v>
      </c>
      <c r="E9" s="99" t="s">
        <v>324</v>
      </c>
      <c r="F9" s="99" t="s">
        <v>331</v>
      </c>
      <c r="G9" s="99" t="s">
        <v>55</v>
      </c>
      <c r="H9" s="99" t="s">
        <v>332</v>
      </c>
      <c r="I9" s="101" t="s">
        <v>323</v>
      </c>
      <c r="J9" s="104"/>
    </row>
    <row r="10" spans="2:12" s="93" customFormat="1" x14ac:dyDescent="0.2">
      <c r="B10" s="103"/>
      <c r="C10" s="102"/>
      <c r="D10" s="102"/>
      <c r="E10" s="102"/>
      <c r="F10" s="102"/>
      <c r="G10" s="102"/>
      <c r="H10" s="102"/>
      <c r="I10" s="101" t="s">
        <v>322</v>
      </c>
      <c r="J10" s="100"/>
    </row>
    <row r="11" spans="2:12" s="93" customFormat="1" x14ac:dyDescent="0.2">
      <c r="B11" s="97" t="s">
        <v>311</v>
      </c>
      <c r="C11" s="99" t="s">
        <v>333</v>
      </c>
      <c r="D11" s="95" t="s">
        <v>179</v>
      </c>
      <c r="E11" s="95" t="s">
        <v>180</v>
      </c>
      <c r="F11" s="95" t="s">
        <v>181</v>
      </c>
      <c r="G11" s="95" t="s">
        <v>321</v>
      </c>
      <c r="H11" s="95" t="s">
        <v>334</v>
      </c>
      <c r="I11" s="94" t="s">
        <v>55</v>
      </c>
      <c r="J11" s="100" t="s">
        <v>320</v>
      </c>
    </row>
    <row r="12" spans="2:12" s="93" customFormat="1" x14ac:dyDescent="0.2">
      <c r="B12" s="97" t="s">
        <v>311</v>
      </c>
      <c r="C12" s="99" t="s">
        <v>335</v>
      </c>
      <c r="D12" s="95" t="s">
        <v>182</v>
      </c>
      <c r="E12" s="95" t="s">
        <v>319</v>
      </c>
      <c r="F12" s="95" t="s">
        <v>183</v>
      </c>
      <c r="G12" s="95" t="s">
        <v>60</v>
      </c>
      <c r="H12" s="95" t="s">
        <v>336</v>
      </c>
      <c r="I12" s="94" t="s">
        <v>55</v>
      </c>
      <c r="J12" s="94" t="s">
        <v>358</v>
      </c>
    </row>
    <row r="13" spans="2:12" s="93" customFormat="1" x14ac:dyDescent="0.2">
      <c r="B13" s="97" t="s">
        <v>311</v>
      </c>
      <c r="C13" s="99" t="s">
        <v>337</v>
      </c>
      <c r="D13" s="95" t="s">
        <v>297</v>
      </c>
      <c r="E13" s="95" t="s">
        <v>318</v>
      </c>
      <c r="F13" s="95" t="s">
        <v>299</v>
      </c>
      <c r="G13" s="95" t="s">
        <v>350</v>
      </c>
      <c r="H13" s="95" t="s">
        <v>299</v>
      </c>
      <c r="I13" s="94" t="s">
        <v>55</v>
      </c>
      <c r="J13" s="94"/>
    </row>
    <row r="14" spans="2:12" s="93" customFormat="1" ht="26" x14ac:dyDescent="0.2">
      <c r="B14" s="97" t="s">
        <v>311</v>
      </c>
      <c r="C14" s="99" t="s">
        <v>338</v>
      </c>
      <c r="D14" s="95" t="s">
        <v>298</v>
      </c>
      <c r="E14" s="95" t="s">
        <v>317</v>
      </c>
      <c r="F14" s="95" t="s">
        <v>300</v>
      </c>
      <c r="G14" s="95" t="s">
        <v>351</v>
      </c>
      <c r="H14" s="95" t="s">
        <v>300</v>
      </c>
      <c r="I14" s="94" t="s">
        <v>55</v>
      </c>
      <c r="J14" s="94"/>
    </row>
    <row r="15" spans="2:12" s="93" customFormat="1" x14ac:dyDescent="0.2">
      <c r="B15" s="97" t="s">
        <v>311</v>
      </c>
      <c r="C15" s="99" t="s">
        <v>339</v>
      </c>
      <c r="D15" s="95" t="s">
        <v>186</v>
      </c>
      <c r="E15" s="95" t="s">
        <v>316</v>
      </c>
      <c r="F15" s="95" t="s">
        <v>187</v>
      </c>
      <c r="G15" s="95" t="s">
        <v>352</v>
      </c>
      <c r="H15" s="95" t="s">
        <v>187</v>
      </c>
      <c r="I15" s="94" t="s">
        <v>55</v>
      </c>
      <c r="J15" s="94"/>
    </row>
    <row r="16" spans="2:12" s="93" customFormat="1" x14ac:dyDescent="0.2">
      <c r="B16" s="97" t="s">
        <v>311</v>
      </c>
      <c r="C16" s="99" t="s">
        <v>340</v>
      </c>
      <c r="D16" s="95" t="s">
        <v>188</v>
      </c>
      <c r="E16" s="95" t="s">
        <v>315</v>
      </c>
      <c r="F16" s="95" t="s">
        <v>189</v>
      </c>
      <c r="G16" s="95" t="s">
        <v>355</v>
      </c>
      <c r="H16" s="95" t="s">
        <v>189</v>
      </c>
      <c r="I16" s="94" t="s">
        <v>55</v>
      </c>
      <c r="J16" s="94"/>
    </row>
    <row r="17" spans="2:10" s="93" customFormat="1" ht="26" x14ac:dyDescent="0.2">
      <c r="B17" s="97" t="s">
        <v>311</v>
      </c>
      <c r="C17" s="99" t="s">
        <v>341</v>
      </c>
      <c r="D17" s="95" t="s">
        <v>190</v>
      </c>
      <c r="E17" s="95" t="s">
        <v>314</v>
      </c>
      <c r="F17" s="95" t="s">
        <v>191</v>
      </c>
      <c r="G17" s="95" t="s">
        <v>353</v>
      </c>
      <c r="H17" s="95" t="s">
        <v>191</v>
      </c>
      <c r="I17" s="94" t="s">
        <v>55</v>
      </c>
      <c r="J17" s="94"/>
    </row>
    <row r="18" spans="2:10" s="93" customFormat="1" ht="26" x14ac:dyDescent="0.2">
      <c r="B18" s="97" t="s">
        <v>311</v>
      </c>
      <c r="C18" s="99" t="s">
        <v>342</v>
      </c>
      <c r="D18" s="95" t="s">
        <v>192</v>
      </c>
      <c r="E18" s="95" t="s">
        <v>313</v>
      </c>
      <c r="F18" s="95" t="s">
        <v>193</v>
      </c>
      <c r="G18" s="95" t="s">
        <v>354</v>
      </c>
      <c r="H18" s="95" t="s">
        <v>193</v>
      </c>
      <c r="I18" s="94" t="s">
        <v>55</v>
      </c>
      <c r="J18" s="94"/>
    </row>
    <row r="19" spans="2:10" s="93" customFormat="1" ht="52" x14ac:dyDescent="0.2">
      <c r="B19" s="97" t="s">
        <v>311</v>
      </c>
      <c r="C19" s="99" t="s">
        <v>343</v>
      </c>
      <c r="D19" s="95" t="s">
        <v>72</v>
      </c>
      <c r="E19" s="95" t="s">
        <v>312</v>
      </c>
      <c r="F19" s="95" t="s">
        <v>344</v>
      </c>
      <c r="G19" s="95" t="s">
        <v>356</v>
      </c>
      <c r="H19" s="95" t="s">
        <v>344</v>
      </c>
      <c r="I19" s="94" t="s">
        <v>55</v>
      </c>
      <c r="J19" s="94"/>
    </row>
    <row r="20" spans="2:10" s="93" customFormat="1" ht="52" x14ac:dyDescent="0.2">
      <c r="B20" s="97" t="s">
        <v>311</v>
      </c>
      <c r="C20" s="99" t="s">
        <v>345</v>
      </c>
      <c r="D20" s="95" t="s">
        <v>95</v>
      </c>
      <c r="E20" s="98" t="s">
        <v>310</v>
      </c>
      <c r="F20" s="95" t="s">
        <v>346</v>
      </c>
      <c r="G20" s="95" t="s">
        <v>357</v>
      </c>
      <c r="H20" s="95" t="s">
        <v>346</v>
      </c>
      <c r="I20" s="94" t="s">
        <v>55</v>
      </c>
      <c r="J20" s="94" t="s">
        <v>358</v>
      </c>
    </row>
    <row r="21" spans="2:10" s="93" customFormat="1" ht="104" x14ac:dyDescent="0.2">
      <c r="B21" s="97" t="s">
        <v>309</v>
      </c>
      <c r="C21" s="96" t="s">
        <v>347</v>
      </c>
      <c r="D21" s="95" t="s">
        <v>184</v>
      </c>
      <c r="E21" s="95" t="s">
        <v>308</v>
      </c>
      <c r="F21" s="95" t="s">
        <v>185</v>
      </c>
      <c r="G21" s="94" t="s">
        <v>55</v>
      </c>
      <c r="H21" s="95" t="s">
        <v>185</v>
      </c>
      <c r="I21" s="94" t="s">
        <v>55</v>
      </c>
      <c r="J21" s="94"/>
    </row>
    <row r="22" spans="2:10" s="91" customFormat="1" x14ac:dyDescent="0.2">
      <c r="B22" s="92"/>
      <c r="H22" s="92"/>
      <c r="I22" s="92"/>
    </row>
  </sheetData>
  <autoFilter ref="B8:J8" xr:uid="{BB209F4B-5E63-4C4C-81B6-16E1047A91AC}"/>
  <phoneticPr fontId="3"/>
  <pageMargins left="0.7" right="0.7" top="0.75" bottom="0.75" header="0.3" footer="0.3"/>
  <pageSetup paperSize="9" scale="32"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B1:BK87"/>
  <sheetViews>
    <sheetView showGridLines="0" view="pageBreakPreview" zoomScaleNormal="55" zoomScaleSheetLayoutView="100" workbookViewId="0">
      <selection activeCell="AB6" sqref="AB6:BA6"/>
    </sheetView>
  </sheetViews>
  <sheetFormatPr defaultColWidth="2.453125" defaultRowHeight="13.5" customHeight="1" x14ac:dyDescent="0.2"/>
  <cols>
    <col min="1" max="1" width="2.453125" style="21"/>
    <col min="2" max="9" width="2.453125" style="21" customWidth="1"/>
    <col min="10" max="16384" width="2.453125" style="21"/>
  </cols>
  <sheetData>
    <row r="1" spans="2:63" s="1" customFormat="1" ht="13" x14ac:dyDescent="0.2"/>
    <row r="2" spans="2:63" s="1" customFormat="1" ht="13" x14ac:dyDescent="0.2">
      <c r="B2" s="128" t="s">
        <v>1</v>
      </c>
      <c r="C2" s="129"/>
      <c r="D2" s="129"/>
      <c r="E2" s="129"/>
      <c r="F2" s="129"/>
      <c r="G2" s="130"/>
      <c r="H2" s="116" t="str">
        <f>表紙!H5</f>
        <v>BSPS</v>
      </c>
      <c r="I2" s="117"/>
      <c r="J2" s="117"/>
      <c r="K2" s="117"/>
      <c r="L2" s="118"/>
      <c r="M2" s="128" t="s">
        <v>2</v>
      </c>
      <c r="N2" s="129"/>
      <c r="O2" s="129"/>
      <c r="P2" s="129"/>
      <c r="Q2" s="129"/>
      <c r="R2" s="129"/>
      <c r="S2" s="130"/>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63" s="1" customFormat="1" ht="13" x14ac:dyDescent="0.2">
      <c r="B3" s="128" t="s">
        <v>4</v>
      </c>
      <c r="C3" s="129"/>
      <c r="D3" s="129"/>
      <c r="E3" s="129"/>
      <c r="F3" s="129"/>
      <c r="G3" s="130"/>
      <c r="H3" s="116" t="str">
        <f>表紙!H6</f>
        <v>PK</v>
      </c>
      <c r="I3" s="117"/>
      <c r="J3" s="117"/>
      <c r="K3" s="117"/>
      <c r="L3" s="118"/>
      <c r="M3" s="128" t="s">
        <v>6</v>
      </c>
      <c r="N3" s="129"/>
      <c r="O3" s="129"/>
      <c r="P3" s="129"/>
      <c r="Q3" s="129"/>
      <c r="R3" s="129"/>
      <c r="S3" s="130"/>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63" s="1" customFormat="1" ht="13.5" customHeight="1" x14ac:dyDescent="0.2">
      <c r="B4" s="128" t="s">
        <v>8</v>
      </c>
      <c r="C4" s="129"/>
      <c r="D4" s="129"/>
      <c r="E4" s="129"/>
      <c r="F4" s="129"/>
      <c r="G4" s="130"/>
      <c r="H4" s="116" t="str">
        <f>表紙!H7</f>
        <v>BSPSFRPK01</v>
      </c>
      <c r="I4" s="117"/>
      <c r="J4" s="117"/>
      <c r="K4" s="117"/>
      <c r="L4" s="118"/>
      <c r="M4" s="128" t="s">
        <v>9</v>
      </c>
      <c r="N4" s="129"/>
      <c r="O4" s="129"/>
      <c r="P4" s="129"/>
      <c r="Q4" s="129"/>
      <c r="R4" s="129"/>
      <c r="S4" s="130"/>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63" s="1" customFormat="1" ht="13.5" customHeight="1" x14ac:dyDescent="0.2">
      <c r="AH5" s="13"/>
      <c r="AI5" s="13"/>
      <c r="AJ5" s="13"/>
      <c r="AK5" s="13"/>
      <c r="AL5" s="13"/>
      <c r="AM5" s="13"/>
      <c r="AN5" s="13"/>
      <c r="AO5" s="13"/>
      <c r="AP5" s="13"/>
      <c r="AQ5" s="13"/>
      <c r="AR5" s="13"/>
      <c r="AS5" s="13"/>
      <c r="AT5" s="13"/>
      <c r="AU5" s="13"/>
    </row>
    <row r="6" spans="2:63" ht="13.5" customHeight="1" x14ac:dyDescent="0.2">
      <c r="B6" s="159" t="s">
        <v>194</v>
      </c>
      <c r="C6" s="160"/>
      <c r="D6" s="160"/>
      <c r="E6" s="160"/>
      <c r="F6" s="160"/>
      <c r="G6" s="161"/>
      <c r="H6" s="159" t="s">
        <v>195</v>
      </c>
      <c r="I6" s="160"/>
      <c r="J6" s="160"/>
      <c r="K6" s="160"/>
      <c r="L6" s="160"/>
      <c r="M6" s="160"/>
      <c r="N6" s="160"/>
      <c r="O6" s="160"/>
      <c r="P6" s="160"/>
      <c r="Q6" s="160"/>
      <c r="R6" s="160"/>
      <c r="S6" s="160"/>
      <c r="T6" s="160"/>
      <c r="U6" s="160"/>
      <c r="V6" s="161"/>
      <c r="W6" s="128" t="s">
        <v>196</v>
      </c>
      <c r="X6" s="129"/>
      <c r="Y6" s="129"/>
      <c r="Z6" s="129"/>
      <c r="AA6" s="130"/>
      <c r="AB6" s="137" t="s">
        <v>359</v>
      </c>
      <c r="AC6" s="138"/>
      <c r="AD6" s="138"/>
      <c r="AE6" s="138"/>
      <c r="AF6" s="138"/>
      <c r="AG6" s="138"/>
      <c r="AH6" s="138"/>
      <c r="AI6" s="138"/>
      <c r="AJ6" s="138"/>
      <c r="AK6" s="138"/>
      <c r="AL6" s="138"/>
      <c r="AM6" s="138"/>
      <c r="AN6" s="138"/>
      <c r="AO6" s="138"/>
      <c r="AP6" s="138"/>
      <c r="AQ6" s="138"/>
      <c r="AR6" s="138"/>
      <c r="AS6" s="138"/>
      <c r="AT6" s="138"/>
      <c r="AU6" s="138"/>
      <c r="AV6" s="138"/>
      <c r="AW6" s="138"/>
      <c r="AX6" s="138"/>
      <c r="AY6" s="138"/>
      <c r="AZ6" s="138"/>
      <c r="BA6" s="139"/>
      <c r="BH6" s="1"/>
      <c r="BI6" s="1"/>
      <c r="BJ6" s="1"/>
      <c r="BK6" s="1"/>
    </row>
    <row r="7" spans="2:63" ht="13.5" customHeight="1" x14ac:dyDescent="0.2">
      <c r="B7" s="163" t="s">
        <v>360</v>
      </c>
      <c r="C7" s="164"/>
      <c r="D7" s="164"/>
      <c r="E7" s="164"/>
      <c r="F7" s="164"/>
      <c r="G7" s="165"/>
      <c r="H7" s="169" t="s">
        <v>198</v>
      </c>
      <c r="I7" s="170"/>
      <c r="J7" s="170"/>
      <c r="K7" s="170"/>
      <c r="L7" s="170"/>
      <c r="M7" s="170"/>
      <c r="N7" s="170"/>
      <c r="O7" s="170"/>
      <c r="P7" s="170"/>
      <c r="Q7" s="170"/>
      <c r="R7" s="170"/>
      <c r="S7" s="170"/>
      <c r="T7" s="170"/>
      <c r="U7" s="170"/>
      <c r="V7" s="171"/>
      <c r="W7" s="128" t="s">
        <v>199</v>
      </c>
      <c r="X7" s="129"/>
      <c r="Y7" s="129"/>
      <c r="Z7" s="129"/>
      <c r="AA7" s="130"/>
      <c r="AB7" s="137" t="s">
        <v>349</v>
      </c>
      <c r="AC7" s="138"/>
      <c r="AD7" s="138"/>
      <c r="AE7" s="138"/>
      <c r="AF7" s="138"/>
      <c r="AG7" s="138"/>
      <c r="AH7" s="138"/>
      <c r="AI7" s="138"/>
      <c r="AJ7" s="138"/>
      <c r="AK7" s="139"/>
      <c r="AL7" s="128" t="s">
        <v>200</v>
      </c>
      <c r="AM7" s="129"/>
      <c r="AN7" s="129"/>
      <c r="AO7" s="129"/>
      <c r="AP7" s="129"/>
      <c r="AQ7" s="130"/>
      <c r="AR7" s="137" t="s">
        <v>201</v>
      </c>
      <c r="AS7" s="138"/>
      <c r="AT7" s="138"/>
      <c r="AU7" s="138"/>
      <c r="AV7" s="138"/>
      <c r="AW7" s="138"/>
      <c r="AX7" s="138"/>
      <c r="AY7" s="138"/>
      <c r="AZ7" s="138"/>
      <c r="BA7" s="139"/>
      <c r="BH7" s="1"/>
      <c r="BI7" s="1"/>
      <c r="BJ7" s="1"/>
      <c r="BK7" s="1"/>
    </row>
    <row r="8" spans="2:63" ht="13.5" customHeight="1" x14ac:dyDescent="0.2">
      <c r="B8" s="27"/>
      <c r="C8" s="28"/>
      <c r="D8" s="28"/>
      <c r="E8" s="28"/>
      <c r="AH8" s="27"/>
      <c r="AI8" s="28"/>
      <c r="AJ8" s="28"/>
      <c r="AK8" s="28"/>
      <c r="AL8" s="28"/>
      <c r="AM8" s="28"/>
      <c r="BH8" s="1"/>
      <c r="BI8" s="1"/>
      <c r="BJ8" s="1"/>
      <c r="BK8" s="1"/>
    </row>
    <row r="9" spans="2:63" ht="13.5" customHeight="1" x14ac:dyDescent="0.2">
      <c r="B9" s="156" t="s">
        <v>166</v>
      </c>
      <c r="C9" s="157"/>
      <c r="D9" s="157"/>
      <c r="E9" s="157"/>
      <c r="F9" s="157"/>
      <c r="G9" s="157"/>
      <c r="H9" s="157"/>
      <c r="I9" s="157"/>
      <c r="J9" s="157"/>
      <c r="K9" s="157"/>
      <c r="L9" s="157"/>
      <c r="M9" s="157"/>
      <c r="N9" s="157"/>
      <c r="O9" s="157"/>
      <c r="P9" s="157"/>
      <c r="Q9" s="157"/>
      <c r="R9" s="157"/>
      <c r="S9" s="157"/>
      <c r="T9" s="157"/>
      <c r="U9" s="157"/>
      <c r="V9" s="157"/>
      <c r="W9" s="157"/>
      <c r="X9" s="157"/>
      <c r="Y9" s="157"/>
      <c r="Z9" s="157"/>
      <c r="AA9" s="157"/>
      <c r="AB9" s="157"/>
      <c r="AC9" s="157"/>
      <c r="AD9" s="157"/>
      <c r="AE9" s="157"/>
      <c r="AF9" s="157"/>
      <c r="AG9" s="157"/>
      <c r="AH9" s="157"/>
      <c r="AI9" s="157"/>
      <c r="AJ9" s="157"/>
      <c r="AK9" s="157"/>
      <c r="AL9" s="157"/>
      <c r="AM9" s="157"/>
      <c r="AN9" s="157"/>
      <c r="AO9" s="157"/>
      <c r="AP9" s="157"/>
      <c r="AQ9" s="157"/>
      <c r="AR9" s="157"/>
      <c r="AS9" s="157"/>
      <c r="AT9" s="157"/>
      <c r="AU9" s="157"/>
      <c r="AV9" s="157"/>
      <c r="AW9" s="157"/>
      <c r="AX9" s="157"/>
      <c r="AY9" s="157"/>
      <c r="AZ9" s="157"/>
      <c r="BA9" s="158"/>
    </row>
    <row r="10" spans="2:63" ht="13.5" customHeight="1" x14ac:dyDescent="0.2">
      <c r="B10" s="29" t="s">
        <v>202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1"/>
    </row>
    <row r="12" spans="2:63" ht="13.5" customHeight="1" x14ac:dyDescent="0.2">
      <c r="B12" s="32" t="s">
        <v>203</v>
      </c>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4"/>
    </row>
    <row r="13" spans="2:63" ht="13.5" customHeight="1" x14ac:dyDescent="0.2">
      <c r="B13" s="32" t="s">
        <v>204</v>
      </c>
      <c r="C13" s="33"/>
      <c r="D13" s="33"/>
      <c r="E13" s="33"/>
      <c r="F13" s="33"/>
      <c r="G13" s="34"/>
      <c r="H13" s="32" t="s">
        <v>205</v>
      </c>
      <c r="I13" s="33"/>
      <c r="J13" s="33"/>
      <c r="K13" s="33"/>
      <c r="L13" s="33"/>
      <c r="M13" s="33"/>
      <c r="N13" s="33"/>
      <c r="O13" s="33"/>
      <c r="P13" s="33"/>
      <c r="Q13" s="34"/>
      <c r="R13" s="32" t="s">
        <v>168</v>
      </c>
      <c r="S13" s="33"/>
      <c r="T13" s="33"/>
      <c r="U13" s="33"/>
      <c r="V13" s="33"/>
      <c r="W13" s="33"/>
      <c r="X13" s="33"/>
      <c r="Y13" s="33"/>
      <c r="Z13" s="33"/>
      <c r="AA13" s="33"/>
      <c r="AB13" s="33"/>
      <c r="AC13" s="33"/>
      <c r="AD13" s="33"/>
      <c r="AE13" s="33"/>
      <c r="AF13" s="34"/>
      <c r="AG13" s="32" t="s">
        <v>169</v>
      </c>
      <c r="AH13" s="33"/>
      <c r="AI13" s="33"/>
      <c r="AJ13" s="33"/>
      <c r="AK13" s="33"/>
      <c r="AL13" s="33"/>
      <c r="AM13" s="33"/>
      <c r="AN13" s="34"/>
      <c r="AO13" s="33" t="s">
        <v>46</v>
      </c>
      <c r="AP13" s="33"/>
      <c r="AQ13" s="33"/>
      <c r="AR13" s="33"/>
      <c r="AS13" s="33"/>
      <c r="AT13" s="33"/>
      <c r="AU13" s="33"/>
      <c r="AV13" s="33"/>
      <c r="AW13" s="33"/>
      <c r="AX13" s="33"/>
      <c r="AY13" s="33"/>
      <c r="AZ13" s="33"/>
      <c r="BA13" s="34"/>
    </row>
    <row r="14" spans="2:63" ht="13.5" customHeight="1" x14ac:dyDescent="0.2">
      <c r="B14" s="35" t="s">
        <v>206</v>
      </c>
      <c r="C14" s="36"/>
      <c r="D14" s="36"/>
      <c r="E14" s="36"/>
      <c r="F14" s="36"/>
      <c r="G14" s="37"/>
      <c r="H14" s="36" t="s">
        <v>55</v>
      </c>
      <c r="I14" s="36"/>
      <c r="J14" s="36"/>
      <c r="K14" s="36"/>
      <c r="L14" s="36"/>
      <c r="M14" s="36"/>
      <c r="N14" s="36"/>
      <c r="O14" s="36"/>
      <c r="P14" s="36"/>
      <c r="Q14" s="37"/>
      <c r="R14" s="36" t="s">
        <v>55</v>
      </c>
      <c r="S14" s="36"/>
      <c r="T14" s="36"/>
      <c r="U14" s="36"/>
      <c r="V14" s="36"/>
      <c r="W14" s="36"/>
      <c r="X14" s="36"/>
      <c r="Y14" s="36"/>
      <c r="Z14" s="36"/>
      <c r="AA14" s="36"/>
      <c r="AB14" s="36"/>
      <c r="AC14" s="36"/>
      <c r="AD14" s="36"/>
      <c r="AE14" s="36"/>
      <c r="AF14" s="37"/>
      <c r="AG14" s="36" t="s">
        <v>55</v>
      </c>
      <c r="AH14" s="36"/>
      <c r="AI14" s="36"/>
      <c r="AJ14" s="36"/>
      <c r="AK14" s="36"/>
      <c r="AL14" s="36"/>
      <c r="AM14" s="36"/>
      <c r="AN14" s="37"/>
      <c r="AO14" s="36" t="s">
        <v>55</v>
      </c>
      <c r="AP14" s="36"/>
      <c r="AQ14" s="36"/>
      <c r="AR14" s="36"/>
      <c r="AS14" s="36"/>
      <c r="AT14" s="36"/>
      <c r="AU14" s="36"/>
      <c r="AV14" s="36"/>
      <c r="AW14" s="36"/>
      <c r="AX14" s="36"/>
      <c r="AY14" s="36"/>
      <c r="AZ14" s="36"/>
      <c r="BA14" s="37"/>
    </row>
    <row r="16" spans="2:63" ht="13.5" customHeight="1" x14ac:dyDescent="0.2">
      <c r="B16" s="38" t="s">
        <v>207</v>
      </c>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40"/>
    </row>
    <row r="17" spans="2:53" ht="13.5" customHeight="1" x14ac:dyDescent="0.2">
      <c r="B17" s="38" t="s">
        <v>208</v>
      </c>
      <c r="C17" s="39"/>
      <c r="D17" s="39"/>
      <c r="E17" s="39"/>
      <c r="F17" s="39"/>
      <c r="G17" s="40"/>
      <c r="H17" s="38" t="s">
        <v>205</v>
      </c>
      <c r="I17" s="39"/>
      <c r="J17" s="39"/>
      <c r="K17" s="39"/>
      <c r="L17" s="39"/>
      <c r="M17" s="39"/>
      <c r="N17" s="39"/>
      <c r="O17" s="39"/>
      <c r="P17" s="39"/>
      <c r="Q17" s="40"/>
      <c r="R17" s="38" t="s">
        <v>168</v>
      </c>
      <c r="S17" s="39"/>
      <c r="T17" s="39"/>
      <c r="U17" s="39"/>
      <c r="V17" s="39"/>
      <c r="W17" s="39"/>
      <c r="X17" s="39"/>
      <c r="Y17" s="39"/>
      <c r="Z17" s="39"/>
      <c r="AA17" s="39"/>
      <c r="AB17" s="39"/>
      <c r="AC17" s="39"/>
      <c r="AD17" s="39"/>
      <c r="AE17" s="39"/>
      <c r="AF17" s="40"/>
      <c r="AG17" s="38" t="s">
        <v>169</v>
      </c>
      <c r="AH17" s="39"/>
      <c r="AI17" s="39"/>
      <c r="AJ17" s="39"/>
      <c r="AK17" s="39"/>
      <c r="AL17" s="39"/>
      <c r="AM17" s="39"/>
      <c r="AN17" s="40"/>
      <c r="AO17" s="39" t="s">
        <v>46</v>
      </c>
      <c r="AP17" s="39"/>
      <c r="AQ17" s="39"/>
      <c r="AR17" s="39"/>
      <c r="AS17" s="39"/>
      <c r="AT17" s="39"/>
      <c r="AU17" s="39"/>
      <c r="AV17" s="39"/>
      <c r="AW17" s="39"/>
      <c r="AX17" s="39"/>
      <c r="AY17" s="39"/>
      <c r="AZ17" s="39"/>
      <c r="BA17" s="40"/>
    </row>
    <row r="18" spans="2:53" ht="13.5" customHeight="1" x14ac:dyDescent="0.2">
      <c r="B18" s="35" t="s">
        <v>206</v>
      </c>
      <c r="C18" s="36"/>
      <c r="D18" s="36"/>
      <c r="E18" s="36"/>
      <c r="F18" s="36"/>
      <c r="G18" s="37"/>
      <c r="H18" s="36" t="s">
        <v>55</v>
      </c>
      <c r="I18" s="36"/>
      <c r="J18" s="36"/>
      <c r="K18" s="36"/>
      <c r="L18" s="36"/>
      <c r="M18" s="36"/>
      <c r="N18" s="36"/>
      <c r="O18" s="36"/>
      <c r="P18" s="36"/>
      <c r="Q18" s="37"/>
      <c r="R18" s="36" t="s">
        <v>55</v>
      </c>
      <c r="S18" s="36"/>
      <c r="T18" s="36"/>
      <c r="U18" s="36"/>
      <c r="V18" s="36"/>
      <c r="W18" s="36"/>
      <c r="X18" s="36"/>
      <c r="Y18" s="36"/>
      <c r="Z18" s="36"/>
      <c r="AA18" s="36"/>
      <c r="AB18" s="36"/>
      <c r="AC18" s="36"/>
      <c r="AD18" s="36"/>
      <c r="AE18" s="36"/>
      <c r="AF18" s="37"/>
      <c r="AG18" s="36" t="s">
        <v>55</v>
      </c>
      <c r="AH18" s="36"/>
      <c r="AI18" s="36"/>
      <c r="AJ18" s="36"/>
      <c r="AK18" s="36"/>
      <c r="AL18" s="36"/>
      <c r="AM18" s="36"/>
      <c r="AN18" s="37"/>
      <c r="AO18" s="36" t="s">
        <v>55</v>
      </c>
      <c r="AP18" s="36"/>
      <c r="AQ18" s="36"/>
      <c r="AR18" s="36"/>
      <c r="AS18" s="36"/>
      <c r="AT18" s="36"/>
      <c r="AU18" s="36"/>
      <c r="AV18" s="36"/>
      <c r="AW18" s="36"/>
      <c r="AX18" s="36"/>
      <c r="AY18" s="36"/>
      <c r="AZ18" s="36"/>
      <c r="BA18" s="37"/>
    </row>
    <row r="19" spans="2:53" ht="13.5" customHeight="1" x14ac:dyDescent="0.2">
      <c r="B19" s="35" t="s">
        <v>152</v>
      </c>
      <c r="C19" s="36"/>
      <c r="D19" s="36"/>
      <c r="E19" s="36"/>
      <c r="F19" s="36"/>
      <c r="G19" s="37"/>
      <c r="H19" s="36" t="s">
        <v>154</v>
      </c>
      <c r="I19" s="36"/>
      <c r="J19" s="36"/>
      <c r="K19" s="36"/>
      <c r="L19" s="36"/>
      <c r="M19" s="36"/>
      <c r="N19" s="36"/>
      <c r="O19" s="36"/>
      <c r="P19" s="36"/>
      <c r="Q19" s="37"/>
      <c r="R19" s="36" t="s">
        <v>209</v>
      </c>
      <c r="S19" s="36"/>
      <c r="T19" s="36"/>
      <c r="U19" s="36"/>
      <c r="V19" s="36"/>
      <c r="W19" s="36"/>
      <c r="X19" s="36"/>
      <c r="Y19" s="36"/>
      <c r="Z19" s="36"/>
      <c r="AA19" s="36"/>
      <c r="AB19" s="36"/>
      <c r="AC19" s="36"/>
      <c r="AD19" s="36"/>
      <c r="AE19" s="36"/>
      <c r="AF19" s="37"/>
      <c r="AG19" s="36" t="s">
        <v>170</v>
      </c>
      <c r="AH19" s="36"/>
      <c r="AI19" s="36"/>
      <c r="AJ19" s="36"/>
      <c r="AK19" s="36"/>
      <c r="AL19" s="36"/>
      <c r="AM19" s="36"/>
      <c r="AN19" s="37"/>
      <c r="AO19" s="36" t="s">
        <v>210</v>
      </c>
      <c r="AP19" s="36"/>
      <c r="AQ19" s="36"/>
      <c r="AR19" s="36"/>
      <c r="AS19" s="36"/>
      <c r="AT19" s="36"/>
      <c r="AU19" s="36"/>
      <c r="AV19" s="36"/>
      <c r="AW19" s="36"/>
      <c r="AX19" s="36"/>
      <c r="AY19" s="36"/>
      <c r="AZ19" s="36"/>
      <c r="BA19" s="37"/>
    </row>
    <row r="20" spans="2:53" ht="13.5" customHeight="1" x14ac:dyDescent="0.2">
      <c r="B20" s="35" t="s">
        <v>152</v>
      </c>
      <c r="C20" s="36"/>
      <c r="D20" s="36"/>
      <c r="E20" s="36"/>
      <c r="F20" s="36"/>
      <c r="G20" s="37"/>
      <c r="H20" s="36" t="s">
        <v>211</v>
      </c>
      <c r="I20" s="36"/>
      <c r="J20" s="36"/>
      <c r="K20" s="36"/>
      <c r="L20" s="36"/>
      <c r="M20" s="36"/>
      <c r="N20" s="36"/>
      <c r="O20" s="36"/>
      <c r="P20" s="36"/>
      <c r="Q20" s="37"/>
      <c r="R20" s="36" t="s">
        <v>212</v>
      </c>
      <c r="S20" s="36"/>
      <c r="T20" s="36"/>
      <c r="U20" s="36"/>
      <c r="V20" s="36"/>
      <c r="W20" s="36"/>
      <c r="X20" s="36"/>
      <c r="Y20" s="36"/>
      <c r="Z20" s="36"/>
      <c r="AA20" s="36"/>
      <c r="AB20" s="36"/>
      <c r="AC20" s="36"/>
      <c r="AD20" s="36"/>
      <c r="AE20" s="36"/>
      <c r="AF20" s="37"/>
      <c r="AG20" s="36" t="s">
        <v>171</v>
      </c>
      <c r="AH20" s="36"/>
      <c r="AI20" s="36"/>
      <c r="AJ20" s="36"/>
      <c r="AK20" s="36"/>
      <c r="AL20" s="36"/>
      <c r="AM20" s="36"/>
      <c r="AN20" s="37"/>
      <c r="AO20" s="36" t="s">
        <v>213</v>
      </c>
      <c r="AP20" s="36"/>
      <c r="AQ20" s="36"/>
      <c r="AR20" s="36"/>
      <c r="AS20" s="36"/>
      <c r="AT20" s="36"/>
      <c r="AU20" s="36"/>
      <c r="AV20" s="36"/>
      <c r="AW20" s="36"/>
      <c r="AX20" s="36"/>
      <c r="AY20" s="36"/>
      <c r="AZ20" s="36"/>
      <c r="BA20" s="37"/>
    </row>
    <row r="22" spans="2:53" ht="13.5" customHeight="1" x14ac:dyDescent="0.2">
      <c r="B22" s="41" t="s">
        <v>167</v>
      </c>
      <c r="C22" s="42"/>
      <c r="D22" s="42"/>
      <c r="E22" s="42"/>
      <c r="F22" s="42"/>
      <c r="G22" s="42"/>
      <c r="H22" s="42"/>
      <c r="I22" s="42"/>
      <c r="J22" s="42"/>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3"/>
    </row>
    <row r="23" spans="2:53" ht="13.5" customHeight="1" x14ac:dyDescent="0.2">
      <c r="B23" s="41" t="s">
        <v>214</v>
      </c>
      <c r="C23" s="42"/>
      <c r="D23" s="42"/>
      <c r="E23" s="42"/>
      <c r="F23" s="42"/>
      <c r="G23" s="43"/>
      <c r="H23" s="41" t="s">
        <v>215</v>
      </c>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3"/>
      <c r="AO23" s="42" t="s">
        <v>46</v>
      </c>
      <c r="AP23" s="42"/>
      <c r="AQ23" s="42"/>
      <c r="AR23" s="42"/>
      <c r="AS23" s="42"/>
      <c r="AT23" s="42"/>
      <c r="AU23" s="42"/>
      <c r="AV23" s="42"/>
      <c r="AW23" s="42"/>
      <c r="AX23" s="42"/>
      <c r="AY23" s="42"/>
      <c r="AZ23" s="42"/>
      <c r="BA23" s="43"/>
    </row>
    <row r="24" spans="2:53" ht="13.5" customHeight="1" x14ac:dyDescent="0.2">
      <c r="B24" s="35" t="s">
        <v>306</v>
      </c>
      <c r="C24" s="36"/>
      <c r="D24" s="36"/>
      <c r="E24" s="36"/>
      <c r="F24" s="36"/>
      <c r="G24" s="37"/>
      <c r="H24" s="36" t="s">
        <v>216</v>
      </c>
      <c r="I24" s="36"/>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7"/>
      <c r="AO24" s="36" t="s">
        <v>55</v>
      </c>
      <c r="AP24" s="36"/>
      <c r="AQ24" s="36"/>
      <c r="AR24" s="36"/>
      <c r="AS24" s="36"/>
      <c r="AT24" s="36"/>
      <c r="AU24" s="36"/>
      <c r="AV24" s="36"/>
      <c r="AW24" s="36"/>
      <c r="AX24" s="36"/>
      <c r="AY24" s="36"/>
      <c r="AZ24" s="36"/>
      <c r="BA24" s="37"/>
    </row>
    <row r="26" spans="2:53" ht="13.5" customHeight="1" x14ac:dyDescent="0.2">
      <c r="B26" s="156" t="s">
        <v>217</v>
      </c>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8"/>
    </row>
    <row r="27" spans="2:53" ht="13.5" customHeight="1" x14ac:dyDescent="0.2">
      <c r="B27" s="44" t="s">
        <v>218</v>
      </c>
      <c r="BA27" s="45"/>
    </row>
    <row r="28" spans="2:53" ht="13.5" customHeight="1" x14ac:dyDescent="0.2">
      <c r="B28" s="44"/>
      <c r="BA28" s="45"/>
    </row>
    <row r="29" spans="2:53" ht="13.5" customHeight="1" thickBot="1" x14ac:dyDescent="0.25">
      <c r="B29" s="44"/>
      <c r="D29" s="46" t="s">
        <v>219</v>
      </c>
      <c r="E29" s="47"/>
      <c r="F29" s="47"/>
      <c r="G29" s="47"/>
      <c r="H29" s="47"/>
      <c r="I29" s="47"/>
      <c r="J29" s="47"/>
      <c r="K29" s="47"/>
      <c r="L29" s="47"/>
      <c r="M29" s="47"/>
      <c r="N29" s="47"/>
      <c r="O29" s="47"/>
      <c r="P29" s="47"/>
      <c r="Q29" s="47"/>
      <c r="R29" s="47"/>
      <c r="S29" s="46" t="s">
        <v>220</v>
      </c>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8"/>
      <c r="BA29" s="45"/>
    </row>
    <row r="30" spans="2:53" ht="13.5" customHeight="1" thickTop="1" x14ac:dyDescent="0.2">
      <c r="B30" s="44"/>
      <c r="D30" s="49" t="s">
        <v>221</v>
      </c>
      <c r="E30" s="50"/>
      <c r="F30" s="50"/>
      <c r="G30" s="50"/>
      <c r="H30" s="50"/>
      <c r="I30" s="50"/>
      <c r="J30" s="50"/>
      <c r="K30" s="50"/>
      <c r="L30" s="50"/>
      <c r="M30" s="50"/>
      <c r="N30" s="50"/>
      <c r="O30" s="50"/>
      <c r="P30" s="50"/>
      <c r="Q30" s="50"/>
      <c r="R30" s="50"/>
      <c r="S30" s="49" t="s">
        <v>222</v>
      </c>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1"/>
      <c r="BA30" s="45"/>
    </row>
    <row r="31" spans="2:53" ht="13.5" customHeight="1" x14ac:dyDescent="0.2">
      <c r="B31" s="44"/>
      <c r="D31" s="35" t="s">
        <v>223</v>
      </c>
      <c r="E31" s="36"/>
      <c r="F31" s="36"/>
      <c r="G31" s="36"/>
      <c r="H31" s="36"/>
      <c r="I31" s="36"/>
      <c r="J31" s="36"/>
      <c r="K31" s="36"/>
      <c r="L31" s="36"/>
      <c r="M31" s="36"/>
      <c r="N31" s="36"/>
      <c r="O31" s="36"/>
      <c r="P31" s="36"/>
      <c r="Q31" s="36"/>
      <c r="R31" s="36"/>
      <c r="S31" s="35" t="s">
        <v>222</v>
      </c>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7"/>
      <c r="BA31" s="45"/>
    </row>
    <row r="32" spans="2:53" ht="13.5" customHeight="1" x14ac:dyDescent="0.2">
      <c r="B32" s="44"/>
      <c r="D32" s="35" t="s">
        <v>224</v>
      </c>
      <c r="E32" s="36"/>
      <c r="F32" s="36"/>
      <c r="G32" s="36"/>
      <c r="H32" s="36"/>
      <c r="I32" s="36"/>
      <c r="J32" s="36"/>
      <c r="K32" s="36"/>
      <c r="L32" s="36"/>
      <c r="M32" s="36"/>
      <c r="N32" s="36"/>
      <c r="O32" s="36"/>
      <c r="P32" s="36"/>
      <c r="Q32" s="36"/>
      <c r="R32" s="36"/>
      <c r="S32" s="35" t="s">
        <v>225</v>
      </c>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7"/>
      <c r="BA32" s="45"/>
    </row>
    <row r="33" spans="2:53" ht="13.5" customHeight="1" x14ac:dyDescent="0.2">
      <c r="B33" s="44"/>
      <c r="BA33" s="45"/>
    </row>
    <row r="34" spans="2:53" ht="13.5" customHeight="1" x14ac:dyDescent="0.2">
      <c r="B34" s="44" t="s">
        <v>226</v>
      </c>
      <c r="BA34" s="45"/>
    </row>
    <row r="35" spans="2:53" ht="13.5" customHeight="1" x14ac:dyDescent="0.2">
      <c r="B35" s="44"/>
      <c r="BA35" s="45"/>
    </row>
    <row r="36" spans="2:53" ht="13.5" customHeight="1" thickBot="1" x14ac:dyDescent="0.25">
      <c r="B36" s="44"/>
      <c r="D36" s="46" t="s">
        <v>219</v>
      </c>
      <c r="E36" s="47"/>
      <c r="F36" s="47"/>
      <c r="G36" s="47"/>
      <c r="H36" s="47"/>
      <c r="I36" s="47"/>
      <c r="J36" s="47"/>
      <c r="K36" s="47"/>
      <c r="L36" s="47"/>
      <c r="M36" s="47"/>
      <c r="N36" s="47"/>
      <c r="O36" s="47"/>
      <c r="P36" s="47"/>
      <c r="Q36" s="47"/>
      <c r="R36" s="47"/>
      <c r="S36" s="46" t="s">
        <v>220</v>
      </c>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8"/>
      <c r="BA36" s="45"/>
    </row>
    <row r="37" spans="2:53" ht="13.5" customHeight="1" thickTop="1" x14ac:dyDescent="0.2">
      <c r="B37" s="44"/>
      <c r="D37" s="49" t="s">
        <v>227</v>
      </c>
      <c r="E37" s="50"/>
      <c r="F37" s="50"/>
      <c r="G37" s="50"/>
      <c r="H37" s="50"/>
      <c r="I37" s="50"/>
      <c r="J37" s="50"/>
      <c r="K37" s="50"/>
      <c r="L37" s="50"/>
      <c r="M37" s="50"/>
      <c r="N37" s="50"/>
      <c r="O37" s="50"/>
      <c r="P37" s="50"/>
      <c r="Q37" s="50"/>
      <c r="R37" s="50"/>
      <c r="S37" s="49" t="s">
        <v>228</v>
      </c>
      <c r="T37" s="50"/>
      <c r="U37" s="50"/>
      <c r="V37" s="50"/>
      <c r="W37" s="50"/>
      <c r="X37" s="50"/>
      <c r="Y37" s="50"/>
      <c r="Z37" s="50"/>
      <c r="AA37" s="50"/>
      <c r="AB37" s="50"/>
      <c r="AC37" s="50"/>
      <c r="AD37" s="50"/>
      <c r="AE37" s="50"/>
      <c r="AF37" s="50"/>
      <c r="AG37" s="50"/>
      <c r="AH37" s="50"/>
      <c r="AI37" s="50"/>
      <c r="AJ37" s="50"/>
      <c r="AK37" s="50"/>
      <c r="AL37" s="50"/>
      <c r="AM37" s="50"/>
      <c r="AN37" s="50"/>
      <c r="AO37" s="50"/>
      <c r="AP37" s="50"/>
      <c r="AQ37" s="50"/>
      <c r="AR37" s="50"/>
      <c r="AS37" s="50"/>
      <c r="AT37" s="50"/>
      <c r="AU37" s="50"/>
      <c r="AV37" s="50"/>
      <c r="AW37" s="50"/>
      <c r="AX37" s="50"/>
      <c r="AY37" s="51"/>
      <c r="BA37" s="45"/>
    </row>
    <row r="38" spans="2:53" ht="13.5" customHeight="1" x14ac:dyDescent="0.2">
      <c r="B38" s="44"/>
      <c r="D38" s="35" t="s">
        <v>229</v>
      </c>
      <c r="E38" s="36"/>
      <c r="F38" s="36"/>
      <c r="G38" s="36"/>
      <c r="H38" s="36"/>
      <c r="I38" s="36"/>
      <c r="J38" s="36"/>
      <c r="K38" s="36"/>
      <c r="L38" s="36"/>
      <c r="M38" s="36"/>
      <c r="N38" s="36"/>
      <c r="O38" s="36"/>
      <c r="P38" s="36"/>
      <c r="Q38" s="36"/>
      <c r="R38" s="36"/>
      <c r="S38" s="35" t="s">
        <v>230</v>
      </c>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7"/>
      <c r="BA38" s="45"/>
    </row>
    <row r="39" spans="2:53" ht="13.5" customHeight="1" x14ac:dyDescent="0.2">
      <c r="B39" s="44"/>
      <c r="BA39" s="45"/>
    </row>
    <row r="40" spans="2:53" ht="13.5" customHeight="1" x14ac:dyDescent="0.2">
      <c r="B40" s="44"/>
      <c r="D40" s="21" t="s">
        <v>231</v>
      </c>
      <c r="BA40" s="45"/>
    </row>
    <row r="41" spans="2:53" ht="13.5" customHeight="1" x14ac:dyDescent="0.2">
      <c r="B41" s="44"/>
      <c r="BA41" s="45"/>
    </row>
    <row r="42" spans="2:53" ht="13.5" customHeight="1" x14ac:dyDescent="0.2">
      <c r="B42" s="44"/>
      <c r="D42" s="32" t="s">
        <v>232</v>
      </c>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4"/>
      <c r="BA42" s="45"/>
    </row>
    <row r="43" spans="2:53" ht="13.5" customHeight="1" thickBot="1" x14ac:dyDescent="0.25">
      <c r="B43" s="44"/>
      <c r="D43" s="52" t="s">
        <v>205</v>
      </c>
      <c r="E43" s="53"/>
      <c r="F43" s="53"/>
      <c r="G43" s="53"/>
      <c r="H43" s="53"/>
      <c r="I43" s="53"/>
      <c r="J43" s="53"/>
      <c r="K43" s="53"/>
      <c r="L43" s="53"/>
      <c r="M43" s="53"/>
      <c r="N43" s="53"/>
      <c r="O43" s="53"/>
      <c r="P43" s="53"/>
      <c r="Q43" s="53"/>
      <c r="R43" s="53"/>
      <c r="S43" s="54"/>
      <c r="T43" s="52" t="s">
        <v>168</v>
      </c>
      <c r="U43" s="53"/>
      <c r="V43" s="53"/>
      <c r="W43" s="53"/>
      <c r="X43" s="53"/>
      <c r="Y43" s="53"/>
      <c r="Z43" s="53"/>
      <c r="AA43" s="53"/>
      <c r="AB43" s="54"/>
      <c r="AC43" s="52" t="s">
        <v>233</v>
      </c>
      <c r="AD43" s="53"/>
      <c r="AE43" s="53"/>
      <c r="AF43" s="53"/>
      <c r="AG43" s="53"/>
      <c r="AH43" s="53"/>
      <c r="AI43" s="53"/>
      <c r="AJ43" s="53"/>
      <c r="AK43" s="53"/>
      <c r="AL43" s="53"/>
      <c r="AM43" s="53"/>
      <c r="AN43" s="54"/>
      <c r="AO43" s="52" t="s">
        <v>46</v>
      </c>
      <c r="AP43" s="53"/>
      <c r="AQ43" s="53"/>
      <c r="AR43" s="53"/>
      <c r="AS43" s="53"/>
      <c r="AT43" s="53"/>
      <c r="AU43" s="53"/>
      <c r="AV43" s="53"/>
      <c r="AW43" s="53"/>
      <c r="AX43" s="53"/>
      <c r="AY43" s="54"/>
      <c r="BA43" s="45"/>
    </row>
    <row r="44" spans="2:53" ht="13.5" customHeight="1" thickTop="1" x14ac:dyDescent="0.2">
      <c r="B44" s="44"/>
      <c r="D44" s="29" t="s">
        <v>234</v>
      </c>
      <c r="E44" s="30"/>
      <c r="F44" s="30"/>
      <c r="G44" s="30"/>
      <c r="H44" s="30"/>
      <c r="I44" s="30"/>
      <c r="J44" s="30"/>
      <c r="K44" s="30"/>
      <c r="L44" s="30"/>
      <c r="M44" s="30"/>
      <c r="N44" s="30"/>
      <c r="O44" s="30"/>
      <c r="P44" s="30"/>
      <c r="Q44" s="30"/>
      <c r="R44" s="30"/>
      <c r="S44" s="31"/>
      <c r="T44" s="30" t="s">
        <v>235</v>
      </c>
      <c r="U44" s="30"/>
      <c r="V44" s="30"/>
      <c r="W44" s="30"/>
      <c r="X44" s="30"/>
      <c r="Y44" s="30"/>
      <c r="Z44" s="30"/>
      <c r="AA44" s="30"/>
      <c r="AB44" s="31"/>
      <c r="AC44" s="30" t="s">
        <v>170</v>
      </c>
      <c r="AD44" s="30"/>
      <c r="AE44" s="30"/>
      <c r="AF44" s="30"/>
      <c r="AG44" s="30"/>
      <c r="AH44" s="30"/>
      <c r="AI44" s="30"/>
      <c r="AJ44" s="30"/>
      <c r="AK44" s="30"/>
      <c r="AL44" s="30"/>
      <c r="AM44" s="30"/>
      <c r="AN44" s="31"/>
      <c r="AO44" s="30" t="s">
        <v>55</v>
      </c>
      <c r="AP44" s="30"/>
      <c r="AQ44" s="30"/>
      <c r="AR44" s="30"/>
      <c r="AS44" s="30"/>
      <c r="AT44" s="30"/>
      <c r="AU44" s="30"/>
      <c r="AV44" s="30"/>
      <c r="AW44" s="30"/>
      <c r="AX44" s="30"/>
      <c r="AY44" s="31"/>
      <c r="BA44" s="45"/>
    </row>
    <row r="45" spans="2:53" ht="13.5" customHeight="1" x14ac:dyDescent="0.2">
      <c r="B45" s="44"/>
      <c r="BA45" s="45"/>
    </row>
    <row r="46" spans="2:53" ht="13.5" customHeight="1" x14ac:dyDescent="0.2">
      <c r="B46" s="44"/>
      <c r="D46" s="38" t="s">
        <v>236</v>
      </c>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40"/>
      <c r="BA46" s="45"/>
    </row>
    <row r="47" spans="2:53" ht="13.5" customHeight="1" thickBot="1" x14ac:dyDescent="0.25">
      <c r="B47" s="44"/>
      <c r="D47" s="55" t="s">
        <v>205</v>
      </c>
      <c r="E47" s="56"/>
      <c r="F47" s="56"/>
      <c r="G47" s="56"/>
      <c r="H47" s="56"/>
      <c r="I47" s="56"/>
      <c r="J47" s="56"/>
      <c r="K47" s="56"/>
      <c r="L47" s="56"/>
      <c r="M47" s="56"/>
      <c r="N47" s="56"/>
      <c r="O47" s="56"/>
      <c r="P47" s="56"/>
      <c r="Q47" s="56"/>
      <c r="R47" s="56"/>
      <c r="S47" s="57"/>
      <c r="T47" s="55" t="s">
        <v>168</v>
      </c>
      <c r="U47" s="56"/>
      <c r="V47" s="56"/>
      <c r="W47" s="56"/>
      <c r="X47" s="56"/>
      <c r="Y47" s="56"/>
      <c r="Z47" s="56"/>
      <c r="AA47" s="56"/>
      <c r="AB47" s="57"/>
      <c r="AC47" s="55" t="s">
        <v>169</v>
      </c>
      <c r="AD47" s="56"/>
      <c r="AE47" s="56"/>
      <c r="AF47" s="56"/>
      <c r="AG47" s="56"/>
      <c r="AH47" s="56"/>
      <c r="AI47" s="56"/>
      <c r="AJ47" s="56"/>
      <c r="AK47" s="56"/>
      <c r="AL47" s="56"/>
      <c r="AM47" s="56"/>
      <c r="AN47" s="57"/>
      <c r="AO47" s="55" t="s">
        <v>46</v>
      </c>
      <c r="AP47" s="56"/>
      <c r="AQ47" s="56"/>
      <c r="AR47" s="56"/>
      <c r="AS47" s="56"/>
      <c r="AT47" s="56"/>
      <c r="AU47" s="56"/>
      <c r="AV47" s="56"/>
      <c r="AW47" s="56"/>
      <c r="AX47" s="56"/>
      <c r="AY47" s="57"/>
      <c r="BA47" s="45"/>
    </row>
    <row r="48" spans="2:53" ht="13.5" customHeight="1" thickTop="1" x14ac:dyDescent="0.2">
      <c r="B48" s="44"/>
      <c r="D48" s="29" t="s">
        <v>237</v>
      </c>
      <c r="E48" s="30"/>
      <c r="F48" s="30"/>
      <c r="G48" s="30"/>
      <c r="H48" s="30"/>
      <c r="I48" s="30"/>
      <c r="J48" s="30"/>
      <c r="K48" s="30"/>
      <c r="L48" s="30"/>
      <c r="M48" s="30"/>
      <c r="N48" s="30"/>
      <c r="O48" s="30"/>
      <c r="P48" s="30"/>
      <c r="Q48" s="30"/>
      <c r="R48" s="30"/>
      <c r="S48" s="31"/>
      <c r="T48" s="30" t="s">
        <v>238</v>
      </c>
      <c r="U48" s="30"/>
      <c r="V48" s="30"/>
      <c r="W48" s="30"/>
      <c r="X48" s="30"/>
      <c r="Y48" s="30"/>
      <c r="Z48" s="30"/>
      <c r="AA48" s="30"/>
      <c r="AB48" s="31"/>
      <c r="AC48" s="30" t="s">
        <v>171</v>
      </c>
      <c r="AD48" s="30"/>
      <c r="AE48" s="30"/>
      <c r="AF48" s="30"/>
      <c r="AG48" s="30"/>
      <c r="AH48" s="30"/>
      <c r="AI48" s="30"/>
      <c r="AJ48" s="30"/>
      <c r="AK48" s="30"/>
      <c r="AL48" s="30"/>
      <c r="AM48" s="30"/>
      <c r="AN48" s="31"/>
      <c r="AO48" s="30" t="s">
        <v>55</v>
      </c>
      <c r="AP48" s="30"/>
      <c r="AQ48" s="30"/>
      <c r="AR48" s="30"/>
      <c r="AS48" s="30"/>
      <c r="AT48" s="30"/>
      <c r="AU48" s="30"/>
      <c r="AV48" s="30"/>
      <c r="AW48" s="30"/>
      <c r="AX48" s="30"/>
      <c r="AY48" s="31"/>
      <c r="BA48" s="45"/>
    </row>
    <row r="49" spans="2:53" ht="13.5" customHeight="1" x14ac:dyDescent="0.2">
      <c r="B49" s="44"/>
      <c r="BA49" s="45"/>
    </row>
    <row r="50" spans="2:53" ht="13.5" customHeight="1" x14ac:dyDescent="0.2">
      <c r="B50" s="44"/>
      <c r="D50" s="21" t="s">
        <v>239</v>
      </c>
      <c r="BA50" s="45"/>
    </row>
    <row r="51" spans="2:53" ht="13.5" customHeight="1" x14ac:dyDescent="0.2">
      <c r="B51" s="44"/>
      <c r="BA51" s="45"/>
    </row>
    <row r="52" spans="2:53" ht="13.5" customHeight="1" x14ac:dyDescent="0.2">
      <c r="B52" s="44"/>
      <c r="D52" s="38" t="s">
        <v>240</v>
      </c>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40"/>
      <c r="BA52" s="45"/>
    </row>
    <row r="53" spans="2:53" ht="13.5" customHeight="1" thickBot="1" x14ac:dyDescent="0.25">
      <c r="B53" s="44"/>
      <c r="D53" s="55" t="s">
        <v>205</v>
      </c>
      <c r="E53" s="56"/>
      <c r="F53" s="56"/>
      <c r="G53" s="56"/>
      <c r="H53" s="56"/>
      <c r="I53" s="56"/>
      <c r="J53" s="56"/>
      <c r="K53" s="56"/>
      <c r="L53" s="56"/>
      <c r="M53" s="56"/>
      <c r="N53" s="56"/>
      <c r="O53" s="56"/>
      <c r="P53" s="56"/>
      <c r="Q53" s="56"/>
      <c r="R53" s="56"/>
      <c r="S53" s="57"/>
      <c r="T53" s="55" t="s">
        <v>168</v>
      </c>
      <c r="U53" s="56"/>
      <c r="V53" s="56"/>
      <c r="W53" s="56"/>
      <c r="X53" s="56"/>
      <c r="Y53" s="56"/>
      <c r="Z53" s="56"/>
      <c r="AA53" s="56"/>
      <c r="AB53" s="57"/>
      <c r="AC53" s="55" t="s">
        <v>169</v>
      </c>
      <c r="AD53" s="56"/>
      <c r="AE53" s="56"/>
      <c r="AF53" s="56"/>
      <c r="AG53" s="56"/>
      <c r="AH53" s="56"/>
      <c r="AI53" s="56"/>
      <c r="AJ53" s="56"/>
      <c r="AK53" s="56"/>
      <c r="AL53" s="56"/>
      <c r="AM53" s="56"/>
      <c r="AN53" s="57"/>
      <c r="AO53" s="55" t="s">
        <v>46</v>
      </c>
      <c r="AP53" s="56"/>
      <c r="AQ53" s="56"/>
      <c r="AR53" s="56"/>
      <c r="AS53" s="56"/>
      <c r="AT53" s="56"/>
      <c r="AU53" s="56"/>
      <c r="AV53" s="56"/>
      <c r="AW53" s="56"/>
      <c r="AX53" s="56"/>
      <c r="AY53" s="57"/>
      <c r="BA53" s="45"/>
    </row>
    <row r="54" spans="2:53" ht="13.5" customHeight="1" thickTop="1" x14ac:dyDescent="0.2">
      <c r="B54" s="44"/>
      <c r="D54" s="29" t="s">
        <v>237</v>
      </c>
      <c r="E54" s="30"/>
      <c r="F54" s="30"/>
      <c r="G54" s="30"/>
      <c r="H54" s="30"/>
      <c r="I54" s="30"/>
      <c r="J54" s="30"/>
      <c r="K54" s="30"/>
      <c r="L54" s="30"/>
      <c r="M54" s="30"/>
      <c r="N54" s="30"/>
      <c r="O54" s="30"/>
      <c r="P54" s="30"/>
      <c r="Q54" s="30"/>
      <c r="R54" s="30"/>
      <c r="S54" s="31"/>
      <c r="T54" s="30" t="s">
        <v>238</v>
      </c>
      <c r="U54" s="30"/>
      <c r="V54" s="30"/>
      <c r="W54" s="30"/>
      <c r="X54" s="30"/>
      <c r="Y54" s="30"/>
      <c r="Z54" s="30"/>
      <c r="AA54" s="30"/>
      <c r="AB54" s="31"/>
      <c r="AC54" s="30" t="s">
        <v>171</v>
      </c>
      <c r="AD54" s="30"/>
      <c r="AE54" s="30"/>
      <c r="AF54" s="30"/>
      <c r="AG54" s="30"/>
      <c r="AH54" s="30"/>
      <c r="AI54" s="30"/>
      <c r="AJ54" s="30"/>
      <c r="AK54" s="30"/>
      <c r="AL54" s="30"/>
      <c r="AM54" s="30"/>
      <c r="AN54" s="31"/>
      <c r="AO54" s="30" t="s">
        <v>241</v>
      </c>
      <c r="AP54" s="30"/>
      <c r="AQ54" s="30"/>
      <c r="AR54" s="30"/>
      <c r="AS54" s="30"/>
      <c r="AT54" s="30"/>
      <c r="AU54" s="30"/>
      <c r="AV54" s="30"/>
      <c r="AW54" s="30"/>
      <c r="AX54" s="30"/>
      <c r="AY54" s="31"/>
      <c r="BA54" s="45"/>
    </row>
    <row r="55" spans="2:53" ht="13.5" customHeight="1" x14ac:dyDescent="0.2">
      <c r="B55" s="44"/>
      <c r="BA55" s="45"/>
    </row>
    <row r="56" spans="2:53" ht="13.5" customHeight="1" x14ac:dyDescent="0.2">
      <c r="B56" s="44" t="s">
        <v>242</v>
      </c>
      <c r="BA56" s="45"/>
    </row>
    <row r="57" spans="2:53" ht="13.5" customHeight="1" x14ac:dyDescent="0.2">
      <c r="B57" s="44"/>
      <c r="BA57" s="45"/>
    </row>
    <row r="58" spans="2:53" ht="13.5" customHeight="1" x14ac:dyDescent="0.2">
      <c r="B58" s="44"/>
      <c r="D58" s="21" t="s">
        <v>243</v>
      </c>
      <c r="BA58" s="45"/>
    </row>
    <row r="59" spans="2:53" ht="13.5" customHeight="1" x14ac:dyDescent="0.2">
      <c r="B59" s="44"/>
      <c r="BA59" s="45"/>
    </row>
    <row r="60" spans="2:53" ht="13.5" customHeight="1" x14ac:dyDescent="0.2">
      <c r="B60" s="44"/>
      <c r="D60" s="32" t="s">
        <v>232</v>
      </c>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4"/>
      <c r="BA60" s="45"/>
    </row>
    <row r="61" spans="2:53" ht="13.5" customHeight="1" thickBot="1" x14ac:dyDescent="0.25">
      <c r="B61" s="44"/>
      <c r="D61" s="52" t="s">
        <v>205</v>
      </c>
      <c r="E61" s="53"/>
      <c r="F61" s="53"/>
      <c r="G61" s="53"/>
      <c r="H61" s="53"/>
      <c r="I61" s="53"/>
      <c r="J61" s="53"/>
      <c r="K61" s="53"/>
      <c r="L61" s="53"/>
      <c r="M61" s="53"/>
      <c r="N61" s="53"/>
      <c r="O61" s="53"/>
      <c r="P61" s="53"/>
      <c r="Q61" s="53"/>
      <c r="R61" s="53"/>
      <c r="S61" s="54"/>
      <c r="T61" s="52" t="s">
        <v>168</v>
      </c>
      <c r="U61" s="53"/>
      <c r="V61" s="53"/>
      <c r="W61" s="53"/>
      <c r="X61" s="53"/>
      <c r="Y61" s="53"/>
      <c r="Z61" s="53"/>
      <c r="AA61" s="53"/>
      <c r="AB61" s="54"/>
      <c r="AC61" s="52" t="s">
        <v>169</v>
      </c>
      <c r="AD61" s="53"/>
      <c r="AE61" s="53"/>
      <c r="AF61" s="53"/>
      <c r="AG61" s="53"/>
      <c r="AH61" s="53"/>
      <c r="AI61" s="53"/>
      <c r="AJ61" s="53"/>
      <c r="AK61" s="53"/>
      <c r="AL61" s="53"/>
      <c r="AM61" s="53"/>
      <c r="AN61" s="54"/>
      <c r="AO61" s="52" t="s">
        <v>46</v>
      </c>
      <c r="AP61" s="53"/>
      <c r="AQ61" s="53"/>
      <c r="AR61" s="53"/>
      <c r="AS61" s="53"/>
      <c r="AT61" s="53"/>
      <c r="AU61" s="53"/>
      <c r="AV61" s="53"/>
      <c r="AW61" s="53"/>
      <c r="AX61" s="53"/>
      <c r="AY61" s="54"/>
      <c r="BA61" s="45"/>
    </row>
    <row r="62" spans="2:53" ht="13.5" customHeight="1" thickTop="1" x14ac:dyDescent="0.2">
      <c r="B62" s="44"/>
      <c r="D62" s="29" t="s">
        <v>75</v>
      </c>
      <c r="E62" s="30"/>
      <c r="F62" s="30"/>
      <c r="G62" s="30"/>
      <c r="H62" s="30"/>
      <c r="I62" s="30"/>
      <c r="J62" s="30"/>
      <c r="K62" s="30"/>
      <c r="L62" s="30"/>
      <c r="M62" s="30"/>
      <c r="N62" s="30"/>
      <c r="O62" s="30"/>
      <c r="P62" s="30"/>
      <c r="Q62" s="30"/>
      <c r="R62" s="30"/>
      <c r="S62" s="31"/>
      <c r="T62" s="29" t="s">
        <v>75</v>
      </c>
      <c r="U62" s="30"/>
      <c r="V62" s="30"/>
      <c r="W62" s="30"/>
      <c r="X62" s="30"/>
      <c r="Y62" s="30"/>
      <c r="Z62" s="30"/>
      <c r="AA62" s="30"/>
      <c r="AB62" s="31"/>
      <c r="AC62" s="29" t="s">
        <v>75</v>
      </c>
      <c r="AD62" s="30"/>
      <c r="AE62" s="30"/>
      <c r="AF62" s="30"/>
      <c r="AG62" s="30"/>
      <c r="AH62" s="30"/>
      <c r="AI62" s="30"/>
      <c r="AJ62" s="30"/>
      <c r="AK62" s="30"/>
      <c r="AL62" s="30"/>
      <c r="AM62" s="30"/>
      <c r="AN62" s="31"/>
      <c r="AO62" s="30" t="s">
        <v>55</v>
      </c>
      <c r="AP62" s="30"/>
      <c r="AQ62" s="30"/>
      <c r="AR62" s="30"/>
      <c r="AS62" s="30"/>
      <c r="AT62" s="30"/>
      <c r="AU62" s="30"/>
      <c r="AV62" s="30"/>
      <c r="AW62" s="30"/>
      <c r="AX62" s="30"/>
      <c r="AY62" s="31"/>
      <c r="BA62" s="45"/>
    </row>
    <row r="63" spans="2:53" ht="13.5" customHeight="1" x14ac:dyDescent="0.2">
      <c r="B63" s="44"/>
      <c r="BA63" s="45"/>
    </row>
    <row r="64" spans="2:53" ht="13.5" customHeight="1" x14ac:dyDescent="0.2">
      <c r="B64" s="44"/>
      <c r="D64" s="38" t="s">
        <v>236</v>
      </c>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c r="AS64" s="39"/>
      <c r="AT64" s="39"/>
      <c r="AU64" s="39"/>
      <c r="AV64" s="39"/>
      <c r="AW64" s="39"/>
      <c r="AX64" s="39"/>
      <c r="AY64" s="40"/>
      <c r="BA64" s="45"/>
    </row>
    <row r="65" spans="2:53" ht="13.5" customHeight="1" thickBot="1" x14ac:dyDescent="0.25">
      <c r="B65" s="44"/>
      <c r="D65" s="55" t="s">
        <v>205</v>
      </c>
      <c r="E65" s="56"/>
      <c r="F65" s="56"/>
      <c r="G65" s="56"/>
      <c r="H65" s="56"/>
      <c r="I65" s="56"/>
      <c r="J65" s="56"/>
      <c r="K65" s="56"/>
      <c r="L65" s="56"/>
      <c r="M65" s="56"/>
      <c r="N65" s="56"/>
      <c r="O65" s="56"/>
      <c r="P65" s="56"/>
      <c r="Q65" s="56"/>
      <c r="R65" s="56"/>
      <c r="S65" s="57"/>
      <c r="T65" s="55" t="s">
        <v>168</v>
      </c>
      <c r="U65" s="56"/>
      <c r="V65" s="56"/>
      <c r="W65" s="56"/>
      <c r="X65" s="56"/>
      <c r="Y65" s="56"/>
      <c r="Z65" s="56"/>
      <c r="AA65" s="56"/>
      <c r="AB65" s="57"/>
      <c r="AC65" s="55" t="s">
        <v>169</v>
      </c>
      <c r="AD65" s="56"/>
      <c r="AE65" s="56"/>
      <c r="AF65" s="56"/>
      <c r="AG65" s="56"/>
      <c r="AH65" s="56"/>
      <c r="AI65" s="56"/>
      <c r="AJ65" s="56"/>
      <c r="AK65" s="56"/>
      <c r="AL65" s="56"/>
      <c r="AM65" s="56"/>
      <c r="AN65" s="57"/>
      <c r="AO65" s="55" t="s">
        <v>46</v>
      </c>
      <c r="AP65" s="56"/>
      <c r="AQ65" s="56"/>
      <c r="AR65" s="56"/>
      <c r="AS65" s="56"/>
      <c r="AT65" s="56"/>
      <c r="AU65" s="56"/>
      <c r="AV65" s="56"/>
      <c r="AW65" s="56"/>
      <c r="AX65" s="56"/>
      <c r="AY65" s="57"/>
      <c r="BA65" s="45"/>
    </row>
    <row r="66" spans="2:53" ht="13.5" customHeight="1" thickTop="1" x14ac:dyDescent="0.2">
      <c r="B66" s="44"/>
      <c r="D66" s="29" t="s">
        <v>172</v>
      </c>
      <c r="E66" s="30"/>
      <c r="F66" s="30"/>
      <c r="G66" s="30"/>
      <c r="H66" s="30"/>
      <c r="I66" s="30"/>
      <c r="J66" s="30"/>
      <c r="K66" s="30"/>
      <c r="L66" s="30"/>
      <c r="M66" s="30"/>
      <c r="N66" s="30"/>
      <c r="O66" s="30"/>
      <c r="P66" s="30"/>
      <c r="Q66" s="30"/>
      <c r="R66" s="30"/>
      <c r="S66" s="31"/>
      <c r="T66" s="30" t="s">
        <v>173</v>
      </c>
      <c r="U66" s="30"/>
      <c r="V66" s="30"/>
      <c r="W66" s="30"/>
      <c r="X66" s="30"/>
      <c r="Y66" s="30"/>
      <c r="Z66" s="30"/>
      <c r="AA66" s="30"/>
      <c r="AB66" s="31"/>
      <c r="AC66" s="30" t="s">
        <v>174</v>
      </c>
      <c r="AD66" s="30"/>
      <c r="AE66" s="30"/>
      <c r="AF66" s="30"/>
      <c r="AG66" s="30"/>
      <c r="AH66" s="30"/>
      <c r="AI66" s="30"/>
      <c r="AJ66" s="30"/>
      <c r="AK66" s="30"/>
      <c r="AL66" s="30"/>
      <c r="AM66" s="30"/>
      <c r="AN66" s="31"/>
      <c r="AO66" s="30" t="s">
        <v>55</v>
      </c>
      <c r="AP66" s="30"/>
      <c r="AQ66" s="30"/>
      <c r="AR66" s="30"/>
      <c r="AS66" s="30"/>
      <c r="AT66" s="30"/>
      <c r="AU66" s="30"/>
      <c r="AV66" s="30"/>
      <c r="AW66" s="30"/>
      <c r="AX66" s="30"/>
      <c r="AY66" s="31"/>
      <c r="BA66" s="45"/>
    </row>
    <row r="67" spans="2:53" ht="13.5" customHeight="1" x14ac:dyDescent="0.2">
      <c r="B67" s="44"/>
      <c r="D67" s="29" t="s">
        <v>244</v>
      </c>
      <c r="E67" s="30"/>
      <c r="F67" s="30"/>
      <c r="G67" s="30"/>
      <c r="H67" s="30"/>
      <c r="I67" s="30"/>
      <c r="J67" s="30"/>
      <c r="K67" s="30"/>
      <c r="L67" s="30"/>
      <c r="M67" s="30"/>
      <c r="N67" s="30"/>
      <c r="O67" s="30"/>
      <c r="P67" s="30"/>
      <c r="Q67" s="30"/>
      <c r="R67" s="30"/>
      <c r="S67" s="31"/>
      <c r="T67" s="30" t="s">
        <v>245</v>
      </c>
      <c r="U67" s="30"/>
      <c r="V67" s="30"/>
      <c r="W67" s="30"/>
      <c r="X67" s="30"/>
      <c r="Y67" s="30"/>
      <c r="Z67" s="30"/>
      <c r="AA67" s="30"/>
      <c r="AB67" s="31"/>
      <c r="AC67" s="30" t="s">
        <v>175</v>
      </c>
      <c r="AD67" s="30"/>
      <c r="AE67" s="30"/>
      <c r="AF67" s="30"/>
      <c r="AG67" s="30"/>
      <c r="AH67" s="30"/>
      <c r="AI67" s="30"/>
      <c r="AJ67" s="30"/>
      <c r="AK67" s="30"/>
      <c r="AL67" s="30"/>
      <c r="AM67" s="30"/>
      <c r="AN67" s="31"/>
      <c r="AO67" s="30" t="s">
        <v>55</v>
      </c>
      <c r="AP67" s="30"/>
      <c r="AQ67" s="30"/>
      <c r="AR67" s="30"/>
      <c r="AS67" s="30"/>
      <c r="AT67" s="30"/>
      <c r="AU67" s="30"/>
      <c r="AV67" s="30"/>
      <c r="AW67" s="30"/>
      <c r="AX67" s="30"/>
      <c r="AY67" s="31"/>
      <c r="BA67" s="45"/>
    </row>
    <row r="68" spans="2:53" ht="13.5" customHeight="1" x14ac:dyDescent="0.2">
      <c r="B68" s="44"/>
      <c r="D68" s="29" t="s">
        <v>246</v>
      </c>
      <c r="E68" s="30"/>
      <c r="F68" s="30"/>
      <c r="G68" s="30"/>
      <c r="H68" s="30"/>
      <c r="I68" s="30"/>
      <c r="J68" s="30"/>
      <c r="K68" s="30"/>
      <c r="L68" s="30"/>
      <c r="M68" s="30"/>
      <c r="N68" s="30"/>
      <c r="O68" s="30"/>
      <c r="P68" s="30"/>
      <c r="Q68" s="30"/>
      <c r="R68" s="30"/>
      <c r="S68" s="31"/>
      <c r="T68" s="30" t="s">
        <v>247</v>
      </c>
      <c r="U68" s="30"/>
      <c r="V68" s="30"/>
      <c r="W68" s="30"/>
      <c r="X68" s="30"/>
      <c r="Y68" s="30"/>
      <c r="Z68" s="30"/>
      <c r="AA68" s="30"/>
      <c r="AB68" s="31"/>
      <c r="AC68" s="30" t="s">
        <v>176</v>
      </c>
      <c r="AD68" s="30"/>
      <c r="AE68" s="30"/>
      <c r="AF68" s="30"/>
      <c r="AG68" s="30"/>
      <c r="AH68" s="30"/>
      <c r="AI68" s="30"/>
      <c r="AJ68" s="30"/>
      <c r="AK68" s="30"/>
      <c r="AL68" s="30"/>
      <c r="AM68" s="30"/>
      <c r="AN68" s="31"/>
      <c r="AO68" s="30" t="s">
        <v>55</v>
      </c>
      <c r="AP68" s="30"/>
      <c r="AQ68" s="30"/>
      <c r="AR68" s="30"/>
      <c r="AS68" s="30"/>
      <c r="AT68" s="30"/>
      <c r="AU68" s="30"/>
      <c r="AV68" s="30"/>
      <c r="AW68" s="30"/>
      <c r="AX68" s="30"/>
      <c r="AY68" s="31"/>
      <c r="BA68" s="45"/>
    </row>
    <row r="69" spans="2:53" ht="13.5" customHeight="1" x14ac:dyDescent="0.2">
      <c r="B69" s="44"/>
      <c r="D69" s="29" t="s">
        <v>248</v>
      </c>
      <c r="E69" s="30"/>
      <c r="F69" s="30"/>
      <c r="G69" s="30"/>
      <c r="H69" s="30"/>
      <c r="I69" s="30"/>
      <c r="J69" s="30"/>
      <c r="K69" s="30"/>
      <c r="L69" s="30"/>
      <c r="M69" s="30"/>
      <c r="N69" s="30"/>
      <c r="O69" s="30"/>
      <c r="P69" s="30"/>
      <c r="Q69" s="30"/>
      <c r="R69" s="30"/>
      <c r="S69" s="31"/>
      <c r="T69" s="30" t="s">
        <v>249</v>
      </c>
      <c r="U69" s="30"/>
      <c r="V69" s="30"/>
      <c r="W69" s="30"/>
      <c r="X69" s="30"/>
      <c r="Y69" s="30"/>
      <c r="Z69" s="30"/>
      <c r="AA69" s="30"/>
      <c r="AB69" s="31"/>
      <c r="AC69" s="30" t="s">
        <v>250</v>
      </c>
      <c r="AD69" s="30"/>
      <c r="AE69" s="30"/>
      <c r="AF69" s="30"/>
      <c r="AG69" s="30"/>
      <c r="AH69" s="30"/>
      <c r="AI69" s="30"/>
      <c r="AJ69" s="30"/>
      <c r="AK69" s="30"/>
      <c r="AL69" s="30"/>
      <c r="AM69" s="30"/>
      <c r="AN69" s="31"/>
      <c r="AO69" s="30" t="s">
        <v>55</v>
      </c>
      <c r="AP69" s="30"/>
      <c r="AQ69" s="30"/>
      <c r="AR69" s="30"/>
      <c r="AS69" s="30"/>
      <c r="AT69" s="30"/>
      <c r="AU69" s="30"/>
      <c r="AV69" s="30"/>
      <c r="AW69" s="30"/>
      <c r="AX69" s="30"/>
      <c r="AY69" s="31"/>
      <c r="BA69" s="45"/>
    </row>
    <row r="70" spans="2:53" ht="13.5" customHeight="1" x14ac:dyDescent="0.2">
      <c r="B70" s="44"/>
      <c r="D70" s="29" t="s">
        <v>251</v>
      </c>
      <c r="E70" s="30"/>
      <c r="F70" s="30"/>
      <c r="G70" s="30"/>
      <c r="H70" s="30"/>
      <c r="I70" s="30"/>
      <c r="J70" s="30"/>
      <c r="K70" s="30"/>
      <c r="L70" s="30"/>
      <c r="M70" s="30"/>
      <c r="N70" s="30"/>
      <c r="O70" s="30"/>
      <c r="P70" s="30"/>
      <c r="Q70" s="30"/>
      <c r="R70" s="30"/>
      <c r="S70" s="31"/>
      <c r="T70" s="30" t="s">
        <v>177</v>
      </c>
      <c r="U70" s="30"/>
      <c r="V70" s="30"/>
      <c r="W70" s="30"/>
      <c r="X70" s="30"/>
      <c r="Y70" s="30"/>
      <c r="Z70" s="30"/>
      <c r="AA70" s="30"/>
      <c r="AB70" s="31"/>
      <c r="AC70" s="30" t="s">
        <v>178</v>
      </c>
      <c r="AD70" s="30"/>
      <c r="AE70" s="30"/>
      <c r="AF70" s="30"/>
      <c r="AG70" s="30"/>
      <c r="AH70" s="30"/>
      <c r="AI70" s="30"/>
      <c r="AJ70" s="30"/>
      <c r="AK70" s="30"/>
      <c r="AL70" s="30"/>
      <c r="AM70" s="30"/>
      <c r="AN70" s="31"/>
      <c r="AO70" s="30" t="s">
        <v>55</v>
      </c>
      <c r="AP70" s="30"/>
      <c r="AQ70" s="30"/>
      <c r="AR70" s="30"/>
      <c r="AS70" s="30"/>
      <c r="AT70" s="30"/>
      <c r="AU70" s="30"/>
      <c r="AV70" s="30"/>
      <c r="AW70" s="30"/>
      <c r="AX70" s="30"/>
      <c r="AY70" s="31"/>
      <c r="BA70" s="45"/>
    </row>
    <row r="71" spans="2:53" ht="13.5" customHeight="1" x14ac:dyDescent="0.2">
      <c r="B71" s="44"/>
      <c r="D71" s="29" t="s">
        <v>252</v>
      </c>
      <c r="E71" s="30"/>
      <c r="F71" s="30"/>
      <c r="G71" s="30"/>
      <c r="H71" s="30"/>
      <c r="I71" s="30"/>
      <c r="J71" s="30"/>
      <c r="K71" s="30"/>
      <c r="L71" s="30"/>
      <c r="M71" s="30"/>
      <c r="N71" s="30"/>
      <c r="O71" s="30"/>
      <c r="P71" s="30"/>
      <c r="Q71" s="30"/>
      <c r="R71" s="30"/>
      <c r="S71" s="31"/>
      <c r="T71" s="30" t="s">
        <v>253</v>
      </c>
      <c r="U71" s="30"/>
      <c r="V71" s="30"/>
      <c r="W71" s="30"/>
      <c r="X71" s="30"/>
      <c r="Y71" s="30"/>
      <c r="Z71" s="30"/>
      <c r="AA71" s="30"/>
      <c r="AB71" s="31"/>
      <c r="AC71" s="30" t="s">
        <v>250</v>
      </c>
      <c r="AD71" s="30"/>
      <c r="AE71" s="30"/>
      <c r="AF71" s="30"/>
      <c r="AG71" s="30"/>
      <c r="AH71" s="30"/>
      <c r="AI71" s="30"/>
      <c r="AJ71" s="30"/>
      <c r="AK71" s="30"/>
      <c r="AL71" s="30"/>
      <c r="AM71" s="30"/>
      <c r="AN71" s="31"/>
      <c r="AO71" s="30" t="s">
        <v>55</v>
      </c>
      <c r="AP71" s="30"/>
      <c r="AQ71" s="30"/>
      <c r="AR71" s="30"/>
      <c r="AS71" s="30"/>
      <c r="AT71" s="30"/>
      <c r="AU71" s="30"/>
      <c r="AV71" s="30"/>
      <c r="AW71" s="30"/>
      <c r="AX71" s="30"/>
      <c r="AY71" s="31"/>
      <c r="BA71" s="45"/>
    </row>
    <row r="72" spans="2:53" ht="13.5" customHeight="1" x14ac:dyDescent="0.2">
      <c r="B72" s="44"/>
      <c r="D72" s="29" t="s">
        <v>254</v>
      </c>
      <c r="E72" s="30"/>
      <c r="F72" s="30"/>
      <c r="G72" s="30"/>
      <c r="H72" s="30"/>
      <c r="I72" s="30"/>
      <c r="J72" s="30"/>
      <c r="K72" s="30"/>
      <c r="L72" s="30"/>
      <c r="M72" s="30"/>
      <c r="N72" s="30"/>
      <c r="O72" s="30"/>
      <c r="P72" s="30"/>
      <c r="Q72" s="30"/>
      <c r="R72" s="30"/>
      <c r="S72" s="31"/>
      <c r="T72" s="30" t="s">
        <v>255</v>
      </c>
      <c r="U72" s="30"/>
      <c r="V72" s="30"/>
      <c r="W72" s="30"/>
      <c r="X72" s="30"/>
      <c r="Y72" s="30"/>
      <c r="Z72" s="30"/>
      <c r="AA72" s="30"/>
      <c r="AB72" s="31"/>
      <c r="AC72" s="30" t="s">
        <v>250</v>
      </c>
      <c r="AD72" s="30"/>
      <c r="AE72" s="30"/>
      <c r="AF72" s="30"/>
      <c r="AG72" s="30"/>
      <c r="AH72" s="30"/>
      <c r="AI72" s="30"/>
      <c r="AJ72" s="30"/>
      <c r="AK72" s="30"/>
      <c r="AL72" s="30"/>
      <c r="AM72" s="30"/>
      <c r="AN72" s="31"/>
      <c r="AO72" s="30" t="s">
        <v>55</v>
      </c>
      <c r="AP72" s="30"/>
      <c r="AQ72" s="30"/>
      <c r="AR72" s="30"/>
      <c r="AS72" s="30"/>
      <c r="AT72" s="30"/>
      <c r="AU72" s="30"/>
      <c r="AV72" s="30"/>
      <c r="AW72" s="30"/>
      <c r="AX72" s="30"/>
      <c r="AY72" s="31"/>
      <c r="BA72" s="45"/>
    </row>
    <row r="73" spans="2:53" ht="13.5" customHeight="1" x14ac:dyDescent="0.2">
      <c r="B73" s="44"/>
      <c r="D73" s="29" t="s">
        <v>256</v>
      </c>
      <c r="E73" s="30"/>
      <c r="F73" s="30"/>
      <c r="G73" s="30"/>
      <c r="H73" s="30"/>
      <c r="I73" s="30"/>
      <c r="J73" s="30"/>
      <c r="K73" s="30"/>
      <c r="L73" s="30"/>
      <c r="M73" s="30"/>
      <c r="N73" s="30"/>
      <c r="O73" s="30"/>
      <c r="P73" s="30"/>
      <c r="Q73" s="30"/>
      <c r="R73" s="30"/>
      <c r="S73" s="31"/>
      <c r="T73" s="30" t="s">
        <v>257</v>
      </c>
      <c r="U73" s="30"/>
      <c r="V73" s="30"/>
      <c r="W73" s="30"/>
      <c r="X73" s="30"/>
      <c r="Y73" s="30"/>
      <c r="Z73" s="30"/>
      <c r="AA73" s="30"/>
      <c r="AB73" s="31"/>
      <c r="AC73" s="30" t="s">
        <v>258</v>
      </c>
      <c r="AD73" s="30"/>
      <c r="AE73" s="30"/>
      <c r="AF73" s="30"/>
      <c r="AG73" s="30"/>
      <c r="AH73" s="30"/>
      <c r="AI73" s="30"/>
      <c r="AJ73" s="30"/>
      <c r="AK73" s="30"/>
      <c r="AL73" s="30"/>
      <c r="AM73" s="30"/>
      <c r="AN73" s="31"/>
      <c r="AO73" s="30" t="s">
        <v>55</v>
      </c>
      <c r="AP73" s="30"/>
      <c r="AQ73" s="30"/>
      <c r="AR73" s="30"/>
      <c r="AS73" s="30"/>
      <c r="AT73" s="30"/>
      <c r="AU73" s="30"/>
      <c r="AV73" s="30"/>
      <c r="AW73" s="30"/>
      <c r="AX73" s="30"/>
      <c r="AY73" s="31"/>
      <c r="BA73" s="45"/>
    </row>
    <row r="74" spans="2:53" ht="13.5" customHeight="1" x14ac:dyDescent="0.2">
      <c r="B74" s="44"/>
      <c r="BA74" s="45"/>
    </row>
    <row r="75" spans="2:53" ht="13.5" customHeight="1" x14ac:dyDescent="0.2">
      <c r="B75" s="44"/>
      <c r="D75" s="21" t="s">
        <v>259</v>
      </c>
      <c r="BA75" s="45"/>
    </row>
    <row r="76" spans="2:53" ht="13.5" customHeight="1" x14ac:dyDescent="0.2">
      <c r="B76" s="44"/>
      <c r="BA76" s="45"/>
    </row>
    <row r="77" spans="2:53" ht="13.5" customHeight="1" x14ac:dyDescent="0.2">
      <c r="B77" s="44"/>
      <c r="D77" s="38" t="s">
        <v>240</v>
      </c>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c r="AS77" s="39"/>
      <c r="AT77" s="39"/>
      <c r="AU77" s="39"/>
      <c r="AV77" s="39"/>
      <c r="AW77" s="39"/>
      <c r="AX77" s="39"/>
      <c r="AY77" s="40"/>
      <c r="BA77" s="45"/>
    </row>
    <row r="78" spans="2:53" ht="13.5" customHeight="1" thickBot="1" x14ac:dyDescent="0.25">
      <c r="B78" s="44"/>
      <c r="D78" s="55" t="s">
        <v>205</v>
      </c>
      <c r="E78" s="56"/>
      <c r="F78" s="56"/>
      <c r="G78" s="56"/>
      <c r="H78" s="56"/>
      <c r="I78" s="56"/>
      <c r="J78" s="56"/>
      <c r="K78" s="56"/>
      <c r="L78" s="56"/>
      <c r="M78" s="56"/>
      <c r="N78" s="56"/>
      <c r="O78" s="56"/>
      <c r="P78" s="56"/>
      <c r="Q78" s="56"/>
      <c r="R78" s="56"/>
      <c r="S78" s="57"/>
      <c r="T78" s="55" t="s">
        <v>168</v>
      </c>
      <c r="U78" s="56"/>
      <c r="V78" s="56"/>
      <c r="W78" s="56"/>
      <c r="X78" s="56"/>
      <c r="Y78" s="56"/>
      <c r="Z78" s="56"/>
      <c r="AA78" s="56"/>
      <c r="AB78" s="57"/>
      <c r="AC78" s="55" t="s">
        <v>169</v>
      </c>
      <c r="AD78" s="56"/>
      <c r="AE78" s="56"/>
      <c r="AF78" s="56"/>
      <c r="AG78" s="56"/>
      <c r="AH78" s="56"/>
      <c r="AI78" s="56"/>
      <c r="AJ78" s="56"/>
      <c r="AK78" s="56"/>
      <c r="AL78" s="56"/>
      <c r="AM78" s="56"/>
      <c r="AN78" s="57"/>
      <c r="AO78" s="55" t="s">
        <v>46</v>
      </c>
      <c r="AP78" s="56"/>
      <c r="AQ78" s="56"/>
      <c r="AR78" s="56"/>
      <c r="AS78" s="56"/>
      <c r="AT78" s="56"/>
      <c r="AU78" s="56"/>
      <c r="AV78" s="56"/>
      <c r="AW78" s="56"/>
      <c r="AX78" s="56"/>
      <c r="AY78" s="57"/>
      <c r="BA78" s="45"/>
    </row>
    <row r="79" spans="2:53" ht="13.5" customHeight="1" thickTop="1" x14ac:dyDescent="0.2">
      <c r="B79" s="44"/>
      <c r="D79" s="29" t="s">
        <v>172</v>
      </c>
      <c r="E79" s="30"/>
      <c r="F79" s="30"/>
      <c r="G79" s="30"/>
      <c r="H79" s="30"/>
      <c r="I79" s="30"/>
      <c r="J79" s="30"/>
      <c r="K79" s="30"/>
      <c r="L79" s="30"/>
      <c r="M79" s="30"/>
      <c r="N79" s="30"/>
      <c r="O79" s="30"/>
      <c r="P79" s="30"/>
      <c r="Q79" s="30"/>
      <c r="R79" s="30"/>
      <c r="S79" s="31"/>
      <c r="T79" s="30" t="s">
        <v>173</v>
      </c>
      <c r="U79" s="30"/>
      <c r="V79" s="30"/>
      <c r="W79" s="30"/>
      <c r="X79" s="30"/>
      <c r="Y79" s="30"/>
      <c r="Z79" s="30"/>
      <c r="AA79" s="30"/>
      <c r="AB79" s="31"/>
      <c r="AC79" s="30" t="s">
        <v>174</v>
      </c>
      <c r="AD79" s="30"/>
      <c r="AE79" s="30"/>
      <c r="AF79" s="30"/>
      <c r="AG79" s="30"/>
      <c r="AH79" s="30"/>
      <c r="AI79" s="30"/>
      <c r="AJ79" s="30"/>
      <c r="AK79" s="30"/>
      <c r="AL79" s="30"/>
      <c r="AM79" s="30"/>
      <c r="AN79" s="31"/>
      <c r="AO79" s="30" t="s">
        <v>55</v>
      </c>
      <c r="AP79" s="30"/>
      <c r="AQ79" s="30"/>
      <c r="AR79" s="30"/>
      <c r="AS79" s="30"/>
      <c r="AT79" s="30"/>
      <c r="AU79" s="30"/>
      <c r="AV79" s="30"/>
      <c r="AW79" s="30"/>
      <c r="AX79" s="30"/>
      <c r="AY79" s="31"/>
      <c r="BA79" s="45"/>
    </row>
    <row r="80" spans="2:53" ht="13.5" customHeight="1" x14ac:dyDescent="0.2">
      <c r="B80" s="44"/>
      <c r="D80" s="29" t="s">
        <v>244</v>
      </c>
      <c r="E80" s="30"/>
      <c r="F80" s="30"/>
      <c r="G80" s="30"/>
      <c r="H80" s="30"/>
      <c r="I80" s="30"/>
      <c r="J80" s="30"/>
      <c r="K80" s="30"/>
      <c r="L80" s="30"/>
      <c r="M80" s="30"/>
      <c r="N80" s="30"/>
      <c r="O80" s="30"/>
      <c r="P80" s="30"/>
      <c r="Q80" s="30"/>
      <c r="R80" s="30"/>
      <c r="S80" s="31"/>
      <c r="T80" s="30" t="s">
        <v>245</v>
      </c>
      <c r="U80" s="30"/>
      <c r="V80" s="30"/>
      <c r="W80" s="30"/>
      <c r="X80" s="30"/>
      <c r="Y80" s="30"/>
      <c r="Z80" s="30"/>
      <c r="AA80" s="30"/>
      <c r="AB80" s="31"/>
      <c r="AC80" s="30" t="s">
        <v>175</v>
      </c>
      <c r="AD80" s="30"/>
      <c r="AE80" s="30"/>
      <c r="AF80" s="30"/>
      <c r="AG80" s="30"/>
      <c r="AH80" s="30"/>
      <c r="AI80" s="30"/>
      <c r="AJ80" s="30"/>
      <c r="AK80" s="30"/>
      <c r="AL80" s="30"/>
      <c r="AM80" s="30"/>
      <c r="AN80" s="31"/>
      <c r="AO80" s="30" t="s">
        <v>55</v>
      </c>
      <c r="AP80" s="30"/>
      <c r="AQ80" s="30"/>
      <c r="AR80" s="30"/>
      <c r="AS80" s="30"/>
      <c r="AT80" s="30"/>
      <c r="AU80" s="30"/>
      <c r="AV80" s="30"/>
      <c r="AW80" s="30"/>
      <c r="AX80" s="30"/>
      <c r="AY80" s="31"/>
      <c r="BA80" s="45"/>
    </row>
    <row r="81" spans="2:53" ht="13.5" customHeight="1" x14ac:dyDescent="0.2">
      <c r="B81" s="44"/>
      <c r="D81" s="29" t="s">
        <v>246</v>
      </c>
      <c r="E81" s="30"/>
      <c r="F81" s="30"/>
      <c r="G81" s="30"/>
      <c r="H81" s="30"/>
      <c r="I81" s="30"/>
      <c r="J81" s="30"/>
      <c r="K81" s="30"/>
      <c r="L81" s="30"/>
      <c r="M81" s="30"/>
      <c r="N81" s="30"/>
      <c r="O81" s="30"/>
      <c r="P81" s="30"/>
      <c r="Q81" s="30"/>
      <c r="R81" s="30"/>
      <c r="S81" s="31"/>
      <c r="T81" s="30" t="s">
        <v>247</v>
      </c>
      <c r="U81" s="30"/>
      <c r="V81" s="30"/>
      <c r="W81" s="30"/>
      <c r="X81" s="30"/>
      <c r="Y81" s="30"/>
      <c r="Z81" s="30"/>
      <c r="AA81" s="30"/>
      <c r="AB81" s="31"/>
      <c r="AC81" s="30" t="s">
        <v>176</v>
      </c>
      <c r="AD81" s="30"/>
      <c r="AE81" s="30"/>
      <c r="AF81" s="30"/>
      <c r="AG81" s="30"/>
      <c r="AH81" s="30"/>
      <c r="AI81" s="30"/>
      <c r="AJ81" s="30"/>
      <c r="AK81" s="30"/>
      <c r="AL81" s="30"/>
      <c r="AM81" s="30"/>
      <c r="AN81" s="31"/>
      <c r="AO81" s="30" t="s">
        <v>55</v>
      </c>
      <c r="AP81" s="30"/>
      <c r="AQ81" s="30"/>
      <c r="AR81" s="30"/>
      <c r="AS81" s="30"/>
      <c r="AT81" s="30"/>
      <c r="AU81" s="30"/>
      <c r="AV81" s="30"/>
      <c r="AW81" s="30"/>
      <c r="AX81" s="30"/>
      <c r="AY81" s="31"/>
      <c r="BA81" s="45"/>
    </row>
    <row r="82" spans="2:53" ht="13.5" customHeight="1" x14ac:dyDescent="0.2">
      <c r="B82" s="44"/>
      <c r="D82" s="29" t="s">
        <v>248</v>
      </c>
      <c r="E82" s="30"/>
      <c r="F82" s="30"/>
      <c r="G82" s="30"/>
      <c r="H82" s="30"/>
      <c r="I82" s="30"/>
      <c r="J82" s="30"/>
      <c r="K82" s="30"/>
      <c r="L82" s="30"/>
      <c r="M82" s="30"/>
      <c r="N82" s="30"/>
      <c r="O82" s="30"/>
      <c r="P82" s="30"/>
      <c r="Q82" s="30"/>
      <c r="R82" s="30"/>
      <c r="S82" s="31"/>
      <c r="T82" s="30" t="s">
        <v>249</v>
      </c>
      <c r="U82" s="30"/>
      <c r="V82" s="30"/>
      <c r="W82" s="30"/>
      <c r="X82" s="30"/>
      <c r="Y82" s="30"/>
      <c r="Z82" s="30"/>
      <c r="AA82" s="30"/>
      <c r="AB82" s="31"/>
      <c r="AC82" s="30" t="s">
        <v>250</v>
      </c>
      <c r="AD82" s="30"/>
      <c r="AE82" s="30"/>
      <c r="AF82" s="30"/>
      <c r="AG82" s="30"/>
      <c r="AH82" s="30"/>
      <c r="AI82" s="30"/>
      <c r="AJ82" s="30"/>
      <c r="AK82" s="30"/>
      <c r="AL82" s="30"/>
      <c r="AM82" s="30"/>
      <c r="AN82" s="31"/>
      <c r="AO82" s="30" t="s">
        <v>55</v>
      </c>
      <c r="AP82" s="30"/>
      <c r="AQ82" s="30"/>
      <c r="AR82" s="30"/>
      <c r="AS82" s="30"/>
      <c r="AT82" s="30"/>
      <c r="AU82" s="30"/>
      <c r="AV82" s="30"/>
      <c r="AW82" s="30"/>
      <c r="AX82" s="30"/>
      <c r="AY82" s="31"/>
      <c r="BA82" s="45"/>
    </row>
    <row r="83" spans="2:53" ht="13.5" customHeight="1" x14ac:dyDescent="0.2">
      <c r="B83" s="44"/>
      <c r="D83" s="29" t="s">
        <v>251</v>
      </c>
      <c r="E83" s="30"/>
      <c r="F83" s="30"/>
      <c r="G83" s="30"/>
      <c r="H83" s="30"/>
      <c r="I83" s="30"/>
      <c r="J83" s="30"/>
      <c r="K83" s="30"/>
      <c r="L83" s="30"/>
      <c r="M83" s="30"/>
      <c r="N83" s="30"/>
      <c r="O83" s="30"/>
      <c r="P83" s="30"/>
      <c r="Q83" s="30"/>
      <c r="R83" s="30"/>
      <c r="S83" s="31"/>
      <c r="T83" s="30" t="s">
        <v>177</v>
      </c>
      <c r="U83" s="30"/>
      <c r="V83" s="30"/>
      <c r="W83" s="30"/>
      <c r="X83" s="30"/>
      <c r="Y83" s="30"/>
      <c r="Z83" s="30"/>
      <c r="AA83" s="30"/>
      <c r="AB83" s="31"/>
      <c r="AC83" s="30" t="s">
        <v>178</v>
      </c>
      <c r="AD83" s="30"/>
      <c r="AE83" s="30"/>
      <c r="AF83" s="30"/>
      <c r="AG83" s="30"/>
      <c r="AH83" s="30"/>
      <c r="AI83" s="30"/>
      <c r="AJ83" s="30"/>
      <c r="AK83" s="30"/>
      <c r="AL83" s="30"/>
      <c r="AM83" s="30"/>
      <c r="AN83" s="31"/>
      <c r="AO83" s="30" t="s">
        <v>55</v>
      </c>
      <c r="AP83" s="30"/>
      <c r="AQ83" s="30"/>
      <c r="AR83" s="30"/>
      <c r="AS83" s="30"/>
      <c r="AT83" s="30"/>
      <c r="AU83" s="30"/>
      <c r="AV83" s="30"/>
      <c r="AW83" s="30"/>
      <c r="AX83" s="30"/>
      <c r="AY83" s="31"/>
      <c r="BA83" s="45"/>
    </row>
    <row r="84" spans="2:53" ht="13.5" customHeight="1" x14ac:dyDescent="0.2">
      <c r="B84" s="44"/>
      <c r="D84" s="29" t="s">
        <v>252</v>
      </c>
      <c r="E84" s="30"/>
      <c r="F84" s="30"/>
      <c r="G84" s="30"/>
      <c r="H84" s="30"/>
      <c r="I84" s="30"/>
      <c r="J84" s="30"/>
      <c r="K84" s="30"/>
      <c r="L84" s="30"/>
      <c r="M84" s="30"/>
      <c r="N84" s="30"/>
      <c r="O84" s="30"/>
      <c r="P84" s="30"/>
      <c r="Q84" s="30"/>
      <c r="R84" s="30"/>
      <c r="S84" s="31"/>
      <c r="T84" s="30" t="s">
        <v>253</v>
      </c>
      <c r="U84" s="30"/>
      <c r="V84" s="30"/>
      <c r="W84" s="30"/>
      <c r="X84" s="30"/>
      <c r="Y84" s="30"/>
      <c r="Z84" s="30"/>
      <c r="AA84" s="30"/>
      <c r="AB84" s="31"/>
      <c r="AC84" s="30" t="s">
        <v>250</v>
      </c>
      <c r="AD84" s="30"/>
      <c r="AE84" s="30"/>
      <c r="AF84" s="30"/>
      <c r="AG84" s="30"/>
      <c r="AH84" s="30"/>
      <c r="AI84" s="30"/>
      <c r="AJ84" s="30"/>
      <c r="AK84" s="30"/>
      <c r="AL84" s="30"/>
      <c r="AM84" s="30"/>
      <c r="AN84" s="31"/>
      <c r="AO84" s="30" t="s">
        <v>55</v>
      </c>
      <c r="AP84" s="30"/>
      <c r="AQ84" s="30"/>
      <c r="AR84" s="30"/>
      <c r="AS84" s="30"/>
      <c r="AT84" s="30"/>
      <c r="AU84" s="30"/>
      <c r="AV84" s="30"/>
      <c r="AW84" s="30"/>
      <c r="AX84" s="30"/>
      <c r="AY84" s="31"/>
      <c r="BA84" s="45"/>
    </row>
    <row r="85" spans="2:53" ht="13.5" customHeight="1" x14ac:dyDescent="0.2">
      <c r="B85" s="44"/>
      <c r="D85" s="29" t="s">
        <v>254</v>
      </c>
      <c r="E85" s="30"/>
      <c r="F85" s="30"/>
      <c r="G85" s="30"/>
      <c r="H85" s="30"/>
      <c r="I85" s="30"/>
      <c r="J85" s="30"/>
      <c r="K85" s="30"/>
      <c r="L85" s="30"/>
      <c r="M85" s="30"/>
      <c r="N85" s="30"/>
      <c r="O85" s="30"/>
      <c r="P85" s="30"/>
      <c r="Q85" s="30"/>
      <c r="R85" s="30"/>
      <c r="S85" s="31"/>
      <c r="T85" s="30" t="s">
        <v>255</v>
      </c>
      <c r="U85" s="30"/>
      <c r="V85" s="30"/>
      <c r="W85" s="30"/>
      <c r="X85" s="30"/>
      <c r="Y85" s="30"/>
      <c r="Z85" s="30"/>
      <c r="AA85" s="30"/>
      <c r="AB85" s="31"/>
      <c r="AC85" s="30" t="s">
        <v>250</v>
      </c>
      <c r="AD85" s="30"/>
      <c r="AE85" s="30"/>
      <c r="AF85" s="30"/>
      <c r="AG85" s="30"/>
      <c r="AH85" s="30"/>
      <c r="AI85" s="30"/>
      <c r="AJ85" s="30"/>
      <c r="AK85" s="30"/>
      <c r="AL85" s="30"/>
      <c r="AM85" s="30"/>
      <c r="AN85" s="31"/>
      <c r="AO85" s="30" t="s">
        <v>55</v>
      </c>
      <c r="AP85" s="30"/>
      <c r="AQ85" s="30"/>
      <c r="AR85" s="30"/>
      <c r="AS85" s="30"/>
      <c r="AT85" s="30"/>
      <c r="AU85" s="30"/>
      <c r="AV85" s="30"/>
      <c r="AW85" s="30"/>
      <c r="AX85" s="30"/>
      <c r="AY85" s="31"/>
      <c r="BA85" s="45"/>
    </row>
    <row r="86" spans="2:53" ht="13.5" customHeight="1" x14ac:dyDescent="0.2">
      <c r="B86" s="44"/>
      <c r="D86" s="29" t="s">
        <v>256</v>
      </c>
      <c r="E86" s="30"/>
      <c r="F86" s="30"/>
      <c r="G86" s="30"/>
      <c r="H86" s="30"/>
      <c r="I86" s="30"/>
      <c r="J86" s="30"/>
      <c r="K86" s="30"/>
      <c r="L86" s="30"/>
      <c r="M86" s="30"/>
      <c r="N86" s="30"/>
      <c r="O86" s="30"/>
      <c r="P86" s="30"/>
      <c r="Q86" s="30"/>
      <c r="R86" s="30"/>
      <c r="S86" s="31"/>
      <c r="T86" s="30" t="s">
        <v>257</v>
      </c>
      <c r="U86" s="30"/>
      <c r="V86" s="30"/>
      <c r="W86" s="30"/>
      <c r="X86" s="30"/>
      <c r="Y86" s="30"/>
      <c r="Z86" s="30"/>
      <c r="AA86" s="30"/>
      <c r="AB86" s="31"/>
      <c r="AC86" s="30" t="s">
        <v>258</v>
      </c>
      <c r="AD86" s="30"/>
      <c r="AE86" s="30"/>
      <c r="AF86" s="30"/>
      <c r="AG86" s="30"/>
      <c r="AH86" s="30"/>
      <c r="AI86" s="30"/>
      <c r="AJ86" s="30"/>
      <c r="AK86" s="30"/>
      <c r="AL86" s="30"/>
      <c r="AM86" s="30"/>
      <c r="AN86" s="31"/>
      <c r="AO86" s="30" t="s">
        <v>55</v>
      </c>
      <c r="AP86" s="30"/>
      <c r="AQ86" s="30"/>
      <c r="AR86" s="30"/>
      <c r="AS86" s="30"/>
      <c r="AT86" s="30"/>
      <c r="AU86" s="30"/>
      <c r="AV86" s="30"/>
      <c r="AW86" s="30"/>
      <c r="AX86" s="30"/>
      <c r="AY86" s="31"/>
      <c r="BA86" s="45"/>
    </row>
    <row r="87" spans="2:53" ht="13.5" customHeight="1" x14ac:dyDescent="0.2">
      <c r="B87" s="29"/>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c r="AY87" s="30"/>
      <c r="AZ87" s="30"/>
      <c r="BA87" s="31"/>
    </row>
  </sheetData>
  <mergeCells count="34">
    <mergeCell ref="B9:BA9"/>
    <mergeCell ref="B26:BA26"/>
    <mergeCell ref="B6:G6"/>
    <mergeCell ref="H6:V6"/>
    <mergeCell ref="W6:AA6"/>
    <mergeCell ref="AB6:BA6"/>
    <mergeCell ref="B7:G7"/>
    <mergeCell ref="H7:V7"/>
    <mergeCell ref="W7:AA7"/>
    <mergeCell ref="AB7:AK7"/>
    <mergeCell ref="AL7:AQ7"/>
    <mergeCell ref="AR7:BA7"/>
    <mergeCell ref="AS3:AU3"/>
    <mergeCell ref="AV3:BA3"/>
    <mergeCell ref="B4:G4"/>
    <mergeCell ref="H4:L4"/>
    <mergeCell ref="M4:S4"/>
    <mergeCell ref="T4:AF4"/>
    <mergeCell ref="AJ4:AL4"/>
    <mergeCell ref="AM4:AR4"/>
    <mergeCell ref="AS4:AU4"/>
    <mergeCell ref="AV4:BA4"/>
    <mergeCell ref="B3:G3"/>
    <mergeCell ref="H3:L3"/>
    <mergeCell ref="M3:S3"/>
    <mergeCell ref="T3:AF3"/>
    <mergeCell ref="AJ3:AL3"/>
    <mergeCell ref="AM3:AR3"/>
    <mergeCell ref="AV2:BA2"/>
    <mergeCell ref="B2:G2"/>
    <mergeCell ref="H2:L2"/>
    <mergeCell ref="M2:S2"/>
    <mergeCell ref="T2:AF2"/>
    <mergeCell ref="AS2:AU2"/>
  </mergeCells>
  <phoneticPr fontId="3"/>
  <pageMargins left="0.39370078740157483" right="0.39370078740157483" top="0.59055118110236227" bottom="0.59055118110236227" header="0.31496062992125984" footer="0.31496062992125984"/>
  <pageSetup paperSize="9" scale="47" orientation="landscape" r:id="rId1"/>
  <headerFooter>
    <oddFooter>&amp;P / &amp;N ページ</oddFooter>
  </headerFooter>
  <rowBreaks count="1" manualBreakCount="1">
    <brk id="55" max="5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sheetPr>
  <dimension ref="B1:BK63"/>
  <sheetViews>
    <sheetView showGridLines="0" view="pageBreakPreview" zoomScaleNormal="55" zoomScaleSheetLayoutView="100" workbookViewId="0">
      <selection activeCell="BD43" sqref="BD43"/>
    </sheetView>
  </sheetViews>
  <sheetFormatPr defaultColWidth="2.453125" defaultRowHeight="13.5" customHeight="1" x14ac:dyDescent="0.2"/>
  <cols>
    <col min="1" max="1" width="2.453125" style="21"/>
    <col min="2" max="9" width="2.453125" style="21" customWidth="1"/>
    <col min="10" max="16384" width="2.453125" style="21"/>
  </cols>
  <sheetData>
    <row r="1" spans="2:63" s="1" customFormat="1" ht="13" x14ac:dyDescent="0.2"/>
    <row r="2" spans="2:63" s="1" customFormat="1" ht="1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63" s="1" customFormat="1" ht="1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63" s="1" customFormat="1"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63" s="1" customFormat="1" ht="13.5" customHeight="1" x14ac:dyDescent="0.2">
      <c r="AH5" s="13"/>
      <c r="AI5" s="13"/>
      <c r="AJ5" s="13"/>
      <c r="AK5" s="13"/>
      <c r="AL5" s="13"/>
      <c r="AM5" s="13"/>
      <c r="AN5" s="13"/>
      <c r="AO5" s="13"/>
      <c r="AP5" s="13"/>
      <c r="AQ5" s="13"/>
      <c r="AR5" s="13"/>
      <c r="AS5" s="13"/>
      <c r="AT5" s="13"/>
      <c r="AU5" s="13"/>
    </row>
    <row r="6" spans="2:63" ht="13.5" customHeight="1" x14ac:dyDescent="0.2">
      <c r="B6" s="159" t="s">
        <v>194</v>
      </c>
      <c r="C6" s="160"/>
      <c r="D6" s="160"/>
      <c r="E6" s="160"/>
      <c r="F6" s="160"/>
      <c r="G6" s="161"/>
      <c r="H6" s="162" t="s">
        <v>195</v>
      </c>
      <c r="I6" s="162"/>
      <c r="J6" s="162"/>
      <c r="K6" s="162"/>
      <c r="L6" s="162"/>
      <c r="M6" s="162"/>
      <c r="N6" s="162"/>
      <c r="O6" s="162"/>
      <c r="P6" s="162"/>
      <c r="Q6" s="162"/>
      <c r="R6" s="162"/>
      <c r="S6" s="162"/>
      <c r="T6" s="162"/>
      <c r="U6" s="162"/>
      <c r="V6" s="162"/>
      <c r="W6" s="111" t="s">
        <v>196</v>
      </c>
      <c r="X6" s="111"/>
      <c r="Y6" s="111"/>
      <c r="Z6" s="111"/>
      <c r="AA6" s="111"/>
      <c r="AB6" s="140" t="s">
        <v>197</v>
      </c>
      <c r="AC6" s="140"/>
      <c r="AD6" s="140"/>
      <c r="AE6" s="140"/>
      <c r="AF6" s="140"/>
      <c r="AG6" s="140"/>
      <c r="AH6" s="140"/>
      <c r="AI6" s="140"/>
      <c r="AJ6" s="140"/>
      <c r="AK6" s="140"/>
      <c r="AL6" s="140"/>
      <c r="AM6" s="140"/>
      <c r="AN6" s="140"/>
      <c r="AO6" s="140"/>
      <c r="AP6" s="140"/>
      <c r="AQ6" s="140"/>
      <c r="AR6" s="140"/>
      <c r="AS6" s="140"/>
      <c r="AT6" s="140"/>
      <c r="AU6" s="140"/>
      <c r="AV6" s="140"/>
      <c r="AW6" s="140"/>
      <c r="AX6" s="140"/>
      <c r="AY6" s="140"/>
      <c r="AZ6" s="140"/>
      <c r="BA6" s="140"/>
      <c r="BH6" s="1"/>
      <c r="BI6" s="1"/>
      <c r="BJ6" s="1"/>
      <c r="BK6" s="1"/>
    </row>
    <row r="7" spans="2:63" ht="13.5" customHeight="1" x14ac:dyDescent="0.2">
      <c r="B7" s="163" t="s">
        <v>348</v>
      </c>
      <c r="C7" s="164"/>
      <c r="D7" s="164"/>
      <c r="E7" s="164"/>
      <c r="F7" s="164"/>
      <c r="G7" s="165"/>
      <c r="H7" s="166" t="s">
        <v>260</v>
      </c>
      <c r="I7" s="166"/>
      <c r="J7" s="166"/>
      <c r="K7" s="166"/>
      <c r="L7" s="166"/>
      <c r="M7" s="166"/>
      <c r="N7" s="166"/>
      <c r="O7" s="166"/>
      <c r="P7" s="166"/>
      <c r="Q7" s="166"/>
      <c r="R7" s="166"/>
      <c r="S7" s="166"/>
      <c r="T7" s="166"/>
      <c r="U7" s="166"/>
      <c r="V7" s="166"/>
      <c r="W7" s="111" t="s">
        <v>199</v>
      </c>
      <c r="X7" s="111"/>
      <c r="Y7" s="111"/>
      <c r="Z7" s="111"/>
      <c r="AA7" s="111"/>
      <c r="AB7" s="140" t="s">
        <v>349</v>
      </c>
      <c r="AC7" s="140"/>
      <c r="AD7" s="140"/>
      <c r="AE7" s="140"/>
      <c r="AF7" s="140"/>
      <c r="AG7" s="140"/>
      <c r="AH7" s="140"/>
      <c r="AI7" s="140"/>
      <c r="AJ7" s="140"/>
      <c r="AK7" s="140"/>
      <c r="AL7" s="111" t="s">
        <v>200</v>
      </c>
      <c r="AM7" s="111"/>
      <c r="AN7" s="111"/>
      <c r="AO7" s="111"/>
      <c r="AP7" s="111"/>
      <c r="AQ7" s="111"/>
      <c r="AR7" s="137" t="s">
        <v>201</v>
      </c>
      <c r="AS7" s="138"/>
      <c r="AT7" s="138"/>
      <c r="AU7" s="138"/>
      <c r="AV7" s="138"/>
      <c r="AW7" s="138"/>
      <c r="AX7" s="138"/>
      <c r="AY7" s="138"/>
      <c r="AZ7" s="138"/>
      <c r="BA7" s="139"/>
      <c r="BH7" s="1"/>
      <c r="BI7" s="1"/>
      <c r="BJ7" s="1"/>
      <c r="BK7" s="1"/>
    </row>
    <row r="8" spans="2:63" ht="13.5" customHeight="1" x14ac:dyDescent="0.2">
      <c r="B8" s="27"/>
      <c r="C8" s="28"/>
      <c r="D8" s="28"/>
      <c r="E8" s="28"/>
      <c r="AH8" s="27"/>
      <c r="AI8" s="28"/>
      <c r="AJ8" s="28"/>
      <c r="AK8" s="28"/>
      <c r="AL8" s="28"/>
      <c r="AM8" s="28"/>
      <c r="BH8" s="1"/>
      <c r="BI8" s="1"/>
      <c r="BJ8" s="1"/>
      <c r="BK8" s="1"/>
    </row>
    <row r="9" spans="2:63" ht="13.5" customHeight="1" x14ac:dyDescent="0.2">
      <c r="B9" s="155" t="s">
        <v>166</v>
      </c>
      <c r="C9" s="155"/>
      <c r="D9" s="155"/>
      <c r="E9" s="155"/>
      <c r="F9" s="155"/>
      <c r="G9" s="155"/>
      <c r="H9" s="155"/>
      <c r="I9" s="155"/>
      <c r="J9" s="155"/>
      <c r="K9" s="155"/>
      <c r="L9" s="155"/>
      <c r="M9" s="155"/>
      <c r="N9" s="155"/>
      <c r="O9" s="155"/>
      <c r="P9" s="155"/>
      <c r="Q9" s="155"/>
      <c r="R9" s="155"/>
      <c r="S9" s="155"/>
      <c r="T9" s="155"/>
      <c r="U9" s="155"/>
      <c r="V9" s="155"/>
      <c r="W9" s="155"/>
      <c r="X9" s="155"/>
      <c r="Y9" s="155"/>
      <c r="Z9" s="155"/>
      <c r="AA9" s="155"/>
      <c r="AB9" s="155"/>
      <c r="AC9" s="155"/>
      <c r="AD9" s="155"/>
      <c r="AE9" s="155"/>
      <c r="AF9" s="155"/>
      <c r="AG9" s="155"/>
      <c r="AH9" s="155"/>
      <c r="AI9" s="155"/>
      <c r="AJ9" s="155"/>
      <c r="AK9" s="155"/>
      <c r="AL9" s="155"/>
      <c r="AM9" s="155"/>
      <c r="AN9" s="155"/>
      <c r="AO9" s="155"/>
      <c r="AP9" s="155"/>
      <c r="AQ9" s="155"/>
      <c r="AR9" s="155"/>
      <c r="AS9" s="155"/>
      <c r="AT9" s="155"/>
      <c r="AU9" s="155"/>
      <c r="AV9" s="155"/>
      <c r="AW9" s="155"/>
      <c r="AX9" s="155"/>
      <c r="AY9" s="155"/>
      <c r="AZ9" s="155"/>
      <c r="BA9" s="155"/>
    </row>
    <row r="10" spans="2:63" ht="13.5" customHeight="1" x14ac:dyDescent="0.2">
      <c r="B10" s="29" t="s">
        <v>261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1"/>
    </row>
    <row r="12" spans="2:63" ht="13.5" customHeight="1" x14ac:dyDescent="0.2">
      <c r="B12" s="32" t="s">
        <v>203</v>
      </c>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4"/>
    </row>
    <row r="13" spans="2:63" ht="13.5" customHeight="1" x14ac:dyDescent="0.2">
      <c r="B13" s="32" t="s">
        <v>204</v>
      </c>
      <c r="C13" s="33"/>
      <c r="D13" s="33"/>
      <c r="E13" s="33"/>
      <c r="F13" s="33"/>
      <c r="G13" s="34"/>
      <c r="H13" s="32" t="s">
        <v>205</v>
      </c>
      <c r="I13" s="33"/>
      <c r="J13" s="33"/>
      <c r="K13" s="33"/>
      <c r="L13" s="33"/>
      <c r="M13" s="33"/>
      <c r="N13" s="33"/>
      <c r="O13" s="33"/>
      <c r="P13" s="33"/>
      <c r="Q13" s="34"/>
      <c r="R13" s="32" t="s">
        <v>168</v>
      </c>
      <c r="S13" s="33"/>
      <c r="T13" s="33"/>
      <c r="U13" s="33"/>
      <c r="V13" s="33"/>
      <c r="W13" s="33"/>
      <c r="X13" s="33"/>
      <c r="Y13" s="33"/>
      <c r="Z13" s="33"/>
      <c r="AA13" s="33"/>
      <c r="AB13" s="33"/>
      <c r="AC13" s="33"/>
      <c r="AD13" s="33"/>
      <c r="AE13" s="33"/>
      <c r="AF13" s="34"/>
      <c r="AG13" s="32" t="s">
        <v>169</v>
      </c>
      <c r="AH13" s="33"/>
      <c r="AI13" s="33"/>
      <c r="AJ13" s="33"/>
      <c r="AK13" s="33"/>
      <c r="AL13" s="33"/>
      <c r="AM13" s="33"/>
      <c r="AN13" s="34"/>
      <c r="AO13" s="33" t="s">
        <v>46</v>
      </c>
      <c r="AP13" s="33"/>
      <c r="AQ13" s="33"/>
      <c r="AR13" s="33"/>
      <c r="AS13" s="33"/>
      <c r="AT13" s="33"/>
      <c r="AU13" s="33"/>
      <c r="AV13" s="33"/>
      <c r="AW13" s="33"/>
      <c r="AX13" s="33"/>
      <c r="AY13" s="33"/>
      <c r="AZ13" s="33"/>
      <c r="BA13" s="34"/>
    </row>
    <row r="14" spans="2:63" ht="13.5" customHeight="1" x14ac:dyDescent="0.2">
      <c r="B14" s="35" t="s">
        <v>206</v>
      </c>
      <c r="C14" s="36"/>
      <c r="D14" s="36"/>
      <c r="E14" s="36"/>
      <c r="F14" s="36"/>
      <c r="G14" s="37"/>
      <c r="H14" s="36" t="s">
        <v>55</v>
      </c>
      <c r="I14" s="36"/>
      <c r="J14" s="36"/>
      <c r="K14" s="36"/>
      <c r="L14" s="36"/>
      <c r="M14" s="36"/>
      <c r="N14" s="36"/>
      <c r="O14" s="36"/>
      <c r="P14" s="36"/>
      <c r="Q14" s="37"/>
      <c r="R14" s="36" t="s">
        <v>55</v>
      </c>
      <c r="S14" s="36"/>
      <c r="T14" s="36"/>
      <c r="U14" s="36"/>
      <c r="V14" s="36"/>
      <c r="W14" s="36"/>
      <c r="X14" s="36"/>
      <c r="Y14" s="36"/>
      <c r="Z14" s="36"/>
      <c r="AA14" s="36"/>
      <c r="AB14" s="36"/>
      <c r="AC14" s="36"/>
      <c r="AD14" s="36"/>
      <c r="AE14" s="36"/>
      <c r="AF14" s="37"/>
      <c r="AG14" s="36" t="s">
        <v>55</v>
      </c>
      <c r="AH14" s="36"/>
      <c r="AI14" s="36"/>
      <c r="AJ14" s="36"/>
      <c r="AK14" s="36"/>
      <c r="AL14" s="36"/>
      <c r="AM14" s="36"/>
      <c r="AN14" s="37"/>
      <c r="AO14" s="36" t="s">
        <v>55</v>
      </c>
      <c r="AP14" s="36"/>
      <c r="AQ14" s="36"/>
      <c r="AR14" s="36"/>
      <c r="AS14" s="36"/>
      <c r="AT14" s="36"/>
      <c r="AU14" s="36"/>
      <c r="AV14" s="36"/>
      <c r="AW14" s="36"/>
      <c r="AX14" s="36"/>
      <c r="AY14" s="36"/>
      <c r="AZ14" s="36"/>
      <c r="BA14" s="37"/>
    </row>
    <row r="16" spans="2:63" ht="13.5" customHeight="1" x14ac:dyDescent="0.2">
      <c r="B16" s="38" t="s">
        <v>207</v>
      </c>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40"/>
    </row>
    <row r="17" spans="2:53" ht="13.5" customHeight="1" x14ac:dyDescent="0.2">
      <c r="B17" s="38" t="s">
        <v>208</v>
      </c>
      <c r="C17" s="39"/>
      <c r="D17" s="39"/>
      <c r="E17" s="39"/>
      <c r="F17" s="39"/>
      <c r="G17" s="40"/>
      <c r="H17" s="38" t="s">
        <v>205</v>
      </c>
      <c r="I17" s="39"/>
      <c r="J17" s="39"/>
      <c r="K17" s="39"/>
      <c r="L17" s="39"/>
      <c r="M17" s="39"/>
      <c r="N17" s="39"/>
      <c r="O17" s="39"/>
      <c r="P17" s="39"/>
      <c r="Q17" s="40"/>
      <c r="R17" s="38" t="s">
        <v>168</v>
      </c>
      <c r="S17" s="39"/>
      <c r="T17" s="39"/>
      <c r="U17" s="39"/>
      <c r="V17" s="39"/>
      <c r="W17" s="39"/>
      <c r="X17" s="39"/>
      <c r="Y17" s="39"/>
      <c r="Z17" s="39"/>
      <c r="AA17" s="39"/>
      <c r="AB17" s="39"/>
      <c r="AC17" s="39"/>
      <c r="AD17" s="39"/>
      <c r="AE17" s="39"/>
      <c r="AF17" s="40"/>
      <c r="AG17" s="38" t="s">
        <v>169</v>
      </c>
      <c r="AH17" s="39"/>
      <c r="AI17" s="39"/>
      <c r="AJ17" s="39"/>
      <c r="AK17" s="39"/>
      <c r="AL17" s="39"/>
      <c r="AM17" s="39"/>
      <c r="AN17" s="40"/>
      <c r="AO17" s="39" t="s">
        <v>46</v>
      </c>
      <c r="AP17" s="39"/>
      <c r="AQ17" s="39"/>
      <c r="AR17" s="39"/>
      <c r="AS17" s="39"/>
      <c r="AT17" s="39"/>
      <c r="AU17" s="39"/>
      <c r="AV17" s="39"/>
      <c r="AW17" s="39"/>
      <c r="AX17" s="39"/>
      <c r="AY17" s="39"/>
      <c r="AZ17" s="39"/>
      <c r="BA17" s="40"/>
    </row>
    <row r="18" spans="2:53" ht="13.5" customHeight="1" x14ac:dyDescent="0.2">
      <c r="B18" s="35" t="s">
        <v>206</v>
      </c>
      <c r="C18" s="36"/>
      <c r="D18" s="36"/>
      <c r="E18" s="36"/>
      <c r="F18" s="36"/>
      <c r="G18" s="37"/>
      <c r="H18" s="36" t="s">
        <v>55</v>
      </c>
      <c r="I18" s="36"/>
      <c r="J18" s="36"/>
      <c r="K18" s="36"/>
      <c r="L18" s="36"/>
      <c r="M18" s="36"/>
      <c r="N18" s="36"/>
      <c r="O18" s="36"/>
      <c r="P18" s="36"/>
      <c r="Q18" s="37"/>
      <c r="R18" s="36" t="s">
        <v>55</v>
      </c>
      <c r="S18" s="36"/>
      <c r="T18" s="36"/>
      <c r="U18" s="36"/>
      <c r="V18" s="36"/>
      <c r="W18" s="36"/>
      <c r="X18" s="36"/>
      <c r="Y18" s="36"/>
      <c r="Z18" s="36"/>
      <c r="AA18" s="36"/>
      <c r="AB18" s="36"/>
      <c r="AC18" s="36"/>
      <c r="AD18" s="36"/>
      <c r="AE18" s="36"/>
      <c r="AF18" s="37"/>
      <c r="AG18" s="36" t="s">
        <v>55</v>
      </c>
      <c r="AH18" s="36"/>
      <c r="AI18" s="36"/>
      <c r="AJ18" s="36"/>
      <c r="AK18" s="36"/>
      <c r="AL18" s="36"/>
      <c r="AM18" s="36"/>
      <c r="AN18" s="37"/>
      <c r="AO18" s="36" t="s">
        <v>55</v>
      </c>
      <c r="AP18" s="36"/>
      <c r="AQ18" s="36"/>
      <c r="AR18" s="36"/>
      <c r="AS18" s="36"/>
      <c r="AT18" s="36"/>
      <c r="AU18" s="36"/>
      <c r="AV18" s="36"/>
      <c r="AW18" s="36"/>
      <c r="AX18" s="36"/>
      <c r="AY18" s="36"/>
      <c r="AZ18" s="36"/>
      <c r="BA18" s="37"/>
    </row>
    <row r="19" spans="2:53" ht="13.5" customHeight="1" x14ac:dyDescent="0.2">
      <c r="B19" s="35" t="s">
        <v>152</v>
      </c>
      <c r="C19" s="36"/>
      <c r="D19" s="36"/>
      <c r="E19" s="36"/>
      <c r="F19" s="36"/>
      <c r="G19" s="37"/>
      <c r="H19" s="36" t="s">
        <v>154</v>
      </c>
      <c r="I19" s="36"/>
      <c r="J19" s="36"/>
      <c r="K19" s="36"/>
      <c r="L19" s="36"/>
      <c r="M19" s="36"/>
      <c r="N19" s="36"/>
      <c r="O19" s="36"/>
      <c r="P19" s="36"/>
      <c r="Q19" s="37"/>
      <c r="R19" s="36" t="s">
        <v>209</v>
      </c>
      <c r="S19" s="36"/>
      <c r="T19" s="36"/>
      <c r="U19" s="36"/>
      <c r="V19" s="36"/>
      <c r="W19" s="36"/>
      <c r="X19" s="36"/>
      <c r="Y19" s="36"/>
      <c r="Z19" s="36"/>
      <c r="AA19" s="36"/>
      <c r="AB19" s="36"/>
      <c r="AC19" s="36"/>
      <c r="AD19" s="36"/>
      <c r="AE19" s="36"/>
      <c r="AF19" s="37"/>
      <c r="AG19" s="36" t="s">
        <v>170</v>
      </c>
      <c r="AH19" s="36"/>
      <c r="AI19" s="36"/>
      <c r="AJ19" s="36"/>
      <c r="AK19" s="36"/>
      <c r="AL19" s="36"/>
      <c r="AM19" s="36"/>
      <c r="AN19" s="37"/>
      <c r="AO19" s="36" t="s">
        <v>210</v>
      </c>
      <c r="AP19" s="36"/>
      <c r="AQ19" s="36"/>
      <c r="AR19" s="36"/>
      <c r="AS19" s="36"/>
      <c r="AT19" s="36"/>
      <c r="AU19" s="36"/>
      <c r="AV19" s="36"/>
      <c r="AW19" s="36"/>
      <c r="AX19" s="36"/>
      <c r="AY19" s="36"/>
      <c r="AZ19" s="36"/>
      <c r="BA19" s="37"/>
    </row>
    <row r="20" spans="2:53" ht="13.5" customHeight="1" x14ac:dyDescent="0.2">
      <c r="B20" s="35" t="s">
        <v>152</v>
      </c>
      <c r="C20" s="36"/>
      <c r="D20" s="36"/>
      <c r="E20" s="36"/>
      <c r="F20" s="36"/>
      <c r="G20" s="37"/>
      <c r="H20" s="36" t="s">
        <v>211</v>
      </c>
      <c r="I20" s="36"/>
      <c r="J20" s="36"/>
      <c r="K20" s="36"/>
      <c r="L20" s="36"/>
      <c r="M20" s="36"/>
      <c r="N20" s="36"/>
      <c r="O20" s="36"/>
      <c r="P20" s="36"/>
      <c r="Q20" s="37"/>
      <c r="R20" s="36" t="s">
        <v>212</v>
      </c>
      <c r="S20" s="36"/>
      <c r="T20" s="36"/>
      <c r="U20" s="36"/>
      <c r="V20" s="36"/>
      <c r="W20" s="36"/>
      <c r="X20" s="36"/>
      <c r="Y20" s="36"/>
      <c r="Z20" s="36"/>
      <c r="AA20" s="36"/>
      <c r="AB20" s="36"/>
      <c r="AC20" s="36"/>
      <c r="AD20" s="36"/>
      <c r="AE20" s="36"/>
      <c r="AF20" s="37"/>
      <c r="AG20" s="36" t="s">
        <v>171</v>
      </c>
      <c r="AH20" s="36"/>
      <c r="AI20" s="36"/>
      <c r="AJ20" s="36"/>
      <c r="AK20" s="36"/>
      <c r="AL20" s="36"/>
      <c r="AM20" s="36"/>
      <c r="AN20" s="37"/>
      <c r="AO20" s="36" t="s">
        <v>213</v>
      </c>
      <c r="AP20" s="36"/>
      <c r="AQ20" s="36"/>
      <c r="AR20" s="36"/>
      <c r="AS20" s="36"/>
      <c r="AT20" s="36"/>
      <c r="AU20" s="36"/>
      <c r="AV20" s="36"/>
      <c r="AW20" s="36"/>
      <c r="AX20" s="36"/>
      <c r="AY20" s="36"/>
      <c r="AZ20" s="36"/>
      <c r="BA20" s="37"/>
    </row>
    <row r="23" spans="2:53" ht="13.5" customHeight="1" x14ac:dyDescent="0.2">
      <c r="B23" s="156" t="s">
        <v>217</v>
      </c>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8"/>
    </row>
    <row r="24" spans="2:53" ht="13.5" customHeight="1" x14ac:dyDescent="0.2">
      <c r="B24" s="44" t="s">
        <v>262</v>
      </c>
      <c r="BA24" s="45"/>
    </row>
    <row r="25" spans="2:53" ht="13.5" customHeight="1" x14ac:dyDescent="0.2">
      <c r="B25" s="44"/>
      <c r="BA25" s="45"/>
    </row>
    <row r="26" spans="2:53" ht="13.5" customHeight="1" thickBot="1" x14ac:dyDescent="0.25">
      <c r="B26" s="44"/>
      <c r="D26" s="55" t="s">
        <v>219</v>
      </c>
      <c r="E26" s="56"/>
      <c r="F26" s="56"/>
      <c r="G26" s="56"/>
      <c r="H26" s="56"/>
      <c r="I26" s="56"/>
      <c r="J26" s="56"/>
      <c r="K26" s="56"/>
      <c r="L26" s="56"/>
      <c r="M26" s="56"/>
      <c r="N26" s="56"/>
      <c r="O26" s="56"/>
      <c r="P26" s="56"/>
      <c r="Q26" s="56"/>
      <c r="R26" s="56"/>
      <c r="S26" s="55" t="s">
        <v>220</v>
      </c>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7"/>
      <c r="BA26" s="45"/>
    </row>
    <row r="27" spans="2:53" ht="13.5" customHeight="1" thickTop="1" x14ac:dyDescent="0.2">
      <c r="B27" s="44"/>
      <c r="D27" s="49" t="s">
        <v>223</v>
      </c>
      <c r="E27" s="50"/>
      <c r="F27" s="50"/>
      <c r="G27" s="50"/>
      <c r="H27" s="50"/>
      <c r="I27" s="50"/>
      <c r="J27" s="50"/>
      <c r="K27" s="50"/>
      <c r="L27" s="50"/>
      <c r="M27" s="50"/>
      <c r="N27" s="50"/>
      <c r="O27" s="50"/>
      <c r="P27" s="50"/>
      <c r="Q27" s="50"/>
      <c r="R27" s="50"/>
      <c r="S27" s="49" t="s">
        <v>222</v>
      </c>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1"/>
      <c r="BA27" s="45"/>
    </row>
    <row r="28" spans="2:53" ht="13.5" customHeight="1" x14ac:dyDescent="0.2">
      <c r="B28" s="44"/>
      <c r="D28" s="35" t="s">
        <v>224</v>
      </c>
      <c r="E28" s="36"/>
      <c r="F28" s="36"/>
      <c r="G28" s="36"/>
      <c r="H28" s="36"/>
      <c r="I28" s="36"/>
      <c r="J28" s="36"/>
      <c r="K28" s="36"/>
      <c r="L28" s="36"/>
      <c r="M28" s="36"/>
      <c r="N28" s="36"/>
      <c r="O28" s="36"/>
      <c r="P28" s="36"/>
      <c r="Q28" s="36"/>
      <c r="R28" s="36"/>
      <c r="S28" s="35" t="s">
        <v>225</v>
      </c>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7"/>
      <c r="BA28" s="45"/>
    </row>
    <row r="29" spans="2:53" ht="13.5" customHeight="1" x14ac:dyDescent="0.2">
      <c r="B29" s="44"/>
      <c r="BA29" s="45"/>
    </row>
    <row r="30" spans="2:53" ht="13.5" customHeight="1" x14ac:dyDescent="0.2">
      <c r="B30" s="44" t="s">
        <v>226</v>
      </c>
      <c r="BA30" s="45"/>
    </row>
    <row r="31" spans="2:53" ht="13.5" customHeight="1" x14ac:dyDescent="0.2">
      <c r="B31" s="44"/>
      <c r="BA31" s="45"/>
    </row>
    <row r="32" spans="2:53" ht="13.5" customHeight="1" thickBot="1" x14ac:dyDescent="0.25">
      <c r="B32" s="44"/>
      <c r="D32" s="55" t="s">
        <v>219</v>
      </c>
      <c r="E32" s="56"/>
      <c r="F32" s="56"/>
      <c r="G32" s="56"/>
      <c r="H32" s="56"/>
      <c r="I32" s="56"/>
      <c r="J32" s="56"/>
      <c r="K32" s="56"/>
      <c r="L32" s="56"/>
      <c r="M32" s="56"/>
      <c r="N32" s="56"/>
      <c r="O32" s="56"/>
      <c r="P32" s="56"/>
      <c r="Q32" s="56"/>
      <c r="R32" s="56"/>
      <c r="S32" s="55" t="s">
        <v>220</v>
      </c>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7"/>
      <c r="BA32" s="45"/>
    </row>
    <row r="33" spans="2:53" ht="13.5" customHeight="1" thickTop="1" x14ac:dyDescent="0.2">
      <c r="B33" s="44"/>
      <c r="D33" s="49" t="s">
        <v>227</v>
      </c>
      <c r="E33" s="50"/>
      <c r="F33" s="50"/>
      <c r="G33" s="50"/>
      <c r="H33" s="50"/>
      <c r="I33" s="50"/>
      <c r="J33" s="50"/>
      <c r="K33" s="50"/>
      <c r="L33" s="50"/>
      <c r="M33" s="50"/>
      <c r="N33" s="50"/>
      <c r="O33" s="50"/>
      <c r="P33" s="50"/>
      <c r="Q33" s="50"/>
      <c r="R33" s="50"/>
      <c r="S33" s="49" t="s">
        <v>263</v>
      </c>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1"/>
      <c r="BA33" s="45"/>
    </row>
    <row r="34" spans="2:53" ht="13.5" customHeight="1" x14ac:dyDescent="0.2">
      <c r="B34" s="44"/>
      <c r="D34" s="35" t="s">
        <v>229</v>
      </c>
      <c r="E34" s="36"/>
      <c r="F34" s="36"/>
      <c r="G34" s="36"/>
      <c r="H34" s="36"/>
      <c r="I34" s="36"/>
      <c r="J34" s="36"/>
      <c r="K34" s="36"/>
      <c r="L34" s="36"/>
      <c r="M34" s="36"/>
      <c r="N34" s="36"/>
      <c r="O34" s="36"/>
      <c r="P34" s="36"/>
      <c r="Q34" s="36"/>
      <c r="R34" s="36"/>
      <c r="S34" s="35" t="s">
        <v>264</v>
      </c>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7"/>
      <c r="BA34" s="45"/>
    </row>
    <row r="35" spans="2:53" ht="13.5" customHeight="1" x14ac:dyDescent="0.2">
      <c r="B35" s="44"/>
      <c r="BA35" s="45"/>
    </row>
    <row r="36" spans="2:53" ht="13.5" customHeight="1" x14ac:dyDescent="0.2">
      <c r="B36" s="44"/>
      <c r="D36" s="21" t="s">
        <v>231</v>
      </c>
      <c r="BA36" s="45"/>
    </row>
    <row r="37" spans="2:53" ht="13.5" customHeight="1" x14ac:dyDescent="0.2">
      <c r="B37" s="44"/>
      <c r="BA37" s="45"/>
    </row>
    <row r="38" spans="2:53" ht="13.5" customHeight="1" x14ac:dyDescent="0.2">
      <c r="B38" s="44"/>
      <c r="D38" s="38" t="s">
        <v>232</v>
      </c>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40"/>
      <c r="BA38" s="45"/>
    </row>
    <row r="39" spans="2:53" ht="13.5" customHeight="1" thickBot="1" x14ac:dyDescent="0.25">
      <c r="B39" s="44"/>
      <c r="D39" s="55" t="s">
        <v>205</v>
      </c>
      <c r="E39" s="56"/>
      <c r="F39" s="56"/>
      <c r="G39" s="56"/>
      <c r="H39" s="56"/>
      <c r="I39" s="56"/>
      <c r="J39" s="56"/>
      <c r="K39" s="56"/>
      <c r="L39" s="56"/>
      <c r="M39" s="56"/>
      <c r="N39" s="56"/>
      <c r="O39" s="56"/>
      <c r="P39" s="56"/>
      <c r="Q39" s="56"/>
      <c r="R39" s="56"/>
      <c r="S39" s="57"/>
      <c r="T39" s="55" t="s">
        <v>168</v>
      </c>
      <c r="U39" s="56"/>
      <c r="V39" s="56"/>
      <c r="W39" s="56"/>
      <c r="X39" s="56"/>
      <c r="Y39" s="56"/>
      <c r="Z39" s="56"/>
      <c r="AA39" s="56"/>
      <c r="AB39" s="57"/>
      <c r="AC39" s="55" t="s">
        <v>169</v>
      </c>
      <c r="AD39" s="56"/>
      <c r="AE39" s="56"/>
      <c r="AF39" s="56"/>
      <c r="AG39" s="56"/>
      <c r="AH39" s="56"/>
      <c r="AI39" s="56"/>
      <c r="AJ39" s="56"/>
      <c r="AK39" s="56"/>
      <c r="AL39" s="56"/>
      <c r="AM39" s="56"/>
      <c r="AN39" s="57"/>
      <c r="AO39" s="55" t="s">
        <v>46</v>
      </c>
      <c r="AP39" s="56"/>
      <c r="AQ39" s="56"/>
      <c r="AR39" s="56"/>
      <c r="AS39" s="56"/>
      <c r="AT39" s="56"/>
      <c r="AU39" s="56"/>
      <c r="AV39" s="56"/>
      <c r="AW39" s="56"/>
      <c r="AX39" s="56"/>
      <c r="AY39" s="57"/>
      <c r="BA39" s="45"/>
    </row>
    <row r="40" spans="2:53" ht="13.5" customHeight="1" thickTop="1" x14ac:dyDescent="0.2">
      <c r="B40" s="44"/>
      <c r="D40" s="29" t="s">
        <v>234</v>
      </c>
      <c r="E40" s="30"/>
      <c r="F40" s="30"/>
      <c r="G40" s="30"/>
      <c r="H40" s="30"/>
      <c r="I40" s="30"/>
      <c r="J40" s="30"/>
      <c r="K40" s="30"/>
      <c r="L40" s="30"/>
      <c r="M40" s="30"/>
      <c r="N40" s="30"/>
      <c r="O40" s="30"/>
      <c r="P40" s="30"/>
      <c r="Q40" s="30"/>
      <c r="R40" s="30"/>
      <c r="S40" s="31"/>
      <c r="T40" s="30" t="s">
        <v>235</v>
      </c>
      <c r="U40" s="30"/>
      <c r="V40" s="30"/>
      <c r="W40" s="30"/>
      <c r="X40" s="30"/>
      <c r="Y40" s="30"/>
      <c r="Z40" s="30"/>
      <c r="AA40" s="30"/>
      <c r="AB40" s="31"/>
      <c r="AC40" s="30" t="s">
        <v>170</v>
      </c>
      <c r="AD40" s="30"/>
      <c r="AE40" s="30"/>
      <c r="AF40" s="30"/>
      <c r="AG40" s="30"/>
      <c r="AH40" s="30"/>
      <c r="AI40" s="30"/>
      <c r="AJ40" s="30"/>
      <c r="AK40" s="30"/>
      <c r="AL40" s="30"/>
      <c r="AM40" s="30"/>
      <c r="AN40" s="31"/>
      <c r="AO40" s="30" t="s">
        <v>55</v>
      </c>
      <c r="AP40" s="30"/>
      <c r="AQ40" s="30"/>
      <c r="AR40" s="30"/>
      <c r="AS40" s="30"/>
      <c r="AT40" s="30"/>
      <c r="AU40" s="30"/>
      <c r="AV40" s="30"/>
      <c r="AW40" s="30"/>
      <c r="AX40" s="30"/>
      <c r="AY40" s="31"/>
      <c r="BA40" s="45"/>
    </row>
    <row r="41" spans="2:53" ht="13.5" customHeight="1" x14ac:dyDescent="0.2">
      <c r="B41" s="44"/>
      <c r="BA41" s="45"/>
    </row>
    <row r="42" spans="2:53" ht="13.5" customHeight="1" x14ac:dyDescent="0.2">
      <c r="B42" s="44"/>
      <c r="D42" s="32" t="s">
        <v>236</v>
      </c>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4"/>
      <c r="BA42" s="45"/>
    </row>
    <row r="43" spans="2:53" ht="13.5" customHeight="1" thickBot="1" x14ac:dyDescent="0.25">
      <c r="B43" s="44"/>
      <c r="D43" s="52" t="s">
        <v>205</v>
      </c>
      <c r="E43" s="53"/>
      <c r="F43" s="53"/>
      <c r="G43" s="53"/>
      <c r="H43" s="53"/>
      <c r="I43" s="53"/>
      <c r="J43" s="53"/>
      <c r="K43" s="53"/>
      <c r="L43" s="53"/>
      <c r="M43" s="53"/>
      <c r="N43" s="53"/>
      <c r="O43" s="53"/>
      <c r="P43" s="53"/>
      <c r="Q43" s="53"/>
      <c r="R43" s="53"/>
      <c r="S43" s="54"/>
      <c r="T43" s="52" t="s">
        <v>168</v>
      </c>
      <c r="U43" s="53"/>
      <c r="V43" s="53"/>
      <c r="W43" s="53"/>
      <c r="X43" s="53"/>
      <c r="Y43" s="53"/>
      <c r="Z43" s="53"/>
      <c r="AA43" s="53"/>
      <c r="AB43" s="54"/>
      <c r="AC43" s="52" t="s">
        <v>169</v>
      </c>
      <c r="AD43" s="53"/>
      <c r="AE43" s="53"/>
      <c r="AF43" s="53"/>
      <c r="AG43" s="53"/>
      <c r="AH43" s="53"/>
      <c r="AI43" s="53"/>
      <c r="AJ43" s="53"/>
      <c r="AK43" s="53"/>
      <c r="AL43" s="53"/>
      <c r="AM43" s="53"/>
      <c r="AN43" s="54"/>
      <c r="AO43" s="52" t="s">
        <v>46</v>
      </c>
      <c r="AP43" s="53"/>
      <c r="AQ43" s="53"/>
      <c r="AR43" s="53"/>
      <c r="AS43" s="53"/>
      <c r="AT43" s="53"/>
      <c r="AU43" s="53"/>
      <c r="AV43" s="53"/>
      <c r="AW43" s="53"/>
      <c r="AX43" s="53"/>
      <c r="AY43" s="54"/>
      <c r="BA43" s="45"/>
    </row>
    <row r="44" spans="2:53" ht="13.5" customHeight="1" thickTop="1" x14ac:dyDescent="0.2">
      <c r="B44" s="44"/>
      <c r="D44" s="29" t="s">
        <v>237</v>
      </c>
      <c r="E44" s="30"/>
      <c r="F44" s="30"/>
      <c r="G44" s="30"/>
      <c r="H44" s="30"/>
      <c r="I44" s="30"/>
      <c r="J44" s="30"/>
      <c r="K44" s="30"/>
      <c r="L44" s="30"/>
      <c r="M44" s="30"/>
      <c r="N44" s="30"/>
      <c r="O44" s="30"/>
      <c r="P44" s="30"/>
      <c r="Q44" s="30"/>
      <c r="R44" s="30"/>
      <c r="S44" s="31"/>
      <c r="T44" s="30" t="s">
        <v>238</v>
      </c>
      <c r="U44" s="30"/>
      <c r="V44" s="30"/>
      <c r="W44" s="30"/>
      <c r="X44" s="30"/>
      <c r="Y44" s="30"/>
      <c r="Z44" s="30"/>
      <c r="AA44" s="30"/>
      <c r="AB44" s="31"/>
      <c r="AC44" s="30" t="s">
        <v>171</v>
      </c>
      <c r="AD44" s="30"/>
      <c r="AE44" s="30"/>
      <c r="AF44" s="30"/>
      <c r="AG44" s="30"/>
      <c r="AH44" s="30"/>
      <c r="AI44" s="30"/>
      <c r="AJ44" s="30"/>
      <c r="AK44" s="30"/>
      <c r="AL44" s="30"/>
      <c r="AM44" s="30"/>
      <c r="AN44" s="31"/>
      <c r="AO44" s="30" t="s">
        <v>55</v>
      </c>
      <c r="AP44" s="30"/>
      <c r="AQ44" s="30"/>
      <c r="AR44" s="30"/>
      <c r="AS44" s="30"/>
      <c r="AT44" s="30"/>
      <c r="AU44" s="30"/>
      <c r="AV44" s="30"/>
      <c r="AW44" s="30"/>
      <c r="AX44" s="30"/>
      <c r="AY44" s="31"/>
      <c r="BA44" s="45"/>
    </row>
    <row r="45" spans="2:53" ht="13.5" customHeight="1" x14ac:dyDescent="0.2">
      <c r="B45" s="44"/>
      <c r="BA45" s="45"/>
    </row>
    <row r="46" spans="2:53" ht="13.5" customHeight="1" x14ac:dyDescent="0.2">
      <c r="B46" s="44"/>
      <c r="D46" s="21" t="s">
        <v>239</v>
      </c>
      <c r="BA46" s="45"/>
    </row>
    <row r="47" spans="2:53" ht="13.5" customHeight="1" x14ac:dyDescent="0.2">
      <c r="B47" s="44"/>
      <c r="BA47" s="45"/>
    </row>
    <row r="48" spans="2:53" ht="13.5" customHeight="1" x14ac:dyDescent="0.2">
      <c r="B48" s="44"/>
      <c r="BA48" s="45"/>
    </row>
    <row r="49" spans="2:53" ht="13.5" customHeight="1" x14ac:dyDescent="0.2">
      <c r="B49" s="44"/>
      <c r="BA49" s="45"/>
    </row>
    <row r="50" spans="2:53" ht="13.5" customHeight="1" x14ac:dyDescent="0.2">
      <c r="B50" s="44"/>
      <c r="BA50" s="45"/>
    </row>
    <row r="51" spans="2:53" ht="13.5" customHeight="1" x14ac:dyDescent="0.2">
      <c r="B51" s="44"/>
      <c r="BA51" s="45"/>
    </row>
    <row r="52" spans="2:53" ht="13.5" customHeight="1" x14ac:dyDescent="0.2">
      <c r="B52" s="44"/>
      <c r="BA52" s="45"/>
    </row>
    <row r="53" spans="2:53" ht="13.5" customHeight="1" x14ac:dyDescent="0.2">
      <c r="B53" s="44"/>
      <c r="BA53" s="45"/>
    </row>
    <row r="54" spans="2:53" ht="13.5" customHeight="1" x14ac:dyDescent="0.2">
      <c r="B54" s="44"/>
      <c r="BA54" s="45"/>
    </row>
    <row r="55" spans="2:53" ht="13.5" customHeight="1" x14ac:dyDescent="0.2">
      <c r="B55" s="44"/>
      <c r="BA55" s="45"/>
    </row>
    <row r="56" spans="2:53" ht="13.5" customHeight="1" x14ac:dyDescent="0.2">
      <c r="B56" s="44"/>
      <c r="BA56" s="45"/>
    </row>
    <row r="57" spans="2:53" ht="13.5" customHeight="1" x14ac:dyDescent="0.2">
      <c r="B57" s="44"/>
      <c r="BA57" s="45"/>
    </row>
    <row r="58" spans="2:53" ht="13.5" customHeight="1" x14ac:dyDescent="0.2">
      <c r="B58" s="44"/>
      <c r="BA58" s="45"/>
    </row>
    <row r="59" spans="2:53" ht="13.5" customHeight="1" x14ac:dyDescent="0.2">
      <c r="B59" s="44"/>
      <c r="BA59" s="45"/>
    </row>
    <row r="60" spans="2:53" ht="13.5" customHeight="1" x14ac:dyDescent="0.2">
      <c r="B60" s="44"/>
      <c r="BA60" s="45"/>
    </row>
    <row r="61" spans="2:53" ht="13.5" customHeight="1" x14ac:dyDescent="0.2">
      <c r="B61" s="44"/>
      <c r="BA61" s="45"/>
    </row>
    <row r="62" spans="2:53" ht="13.5" customHeight="1" x14ac:dyDescent="0.2">
      <c r="B62" s="44"/>
      <c r="BA62" s="45"/>
    </row>
    <row r="63" spans="2:53" ht="13.5" customHeight="1" x14ac:dyDescent="0.2">
      <c r="B63" s="29"/>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1"/>
    </row>
  </sheetData>
  <mergeCells count="34">
    <mergeCell ref="B9:BA9"/>
    <mergeCell ref="B23:BA23"/>
    <mergeCell ref="B6:G6"/>
    <mergeCell ref="H6:V6"/>
    <mergeCell ref="W6:AA6"/>
    <mergeCell ref="AB6:BA6"/>
    <mergeCell ref="B7:G7"/>
    <mergeCell ref="H7:V7"/>
    <mergeCell ref="W7:AA7"/>
    <mergeCell ref="AB7:AK7"/>
    <mergeCell ref="AL7:AQ7"/>
    <mergeCell ref="AR7:BA7"/>
    <mergeCell ref="AS3:AU3"/>
    <mergeCell ref="AV3:BA3"/>
    <mergeCell ref="B4:G4"/>
    <mergeCell ref="H4:L4"/>
    <mergeCell ref="M4:S4"/>
    <mergeCell ref="T4:AF4"/>
    <mergeCell ref="AJ4:AL4"/>
    <mergeCell ref="AM4:AR4"/>
    <mergeCell ref="AS4:AU4"/>
    <mergeCell ref="AV4:BA4"/>
    <mergeCell ref="B3:G3"/>
    <mergeCell ref="H3:L3"/>
    <mergeCell ref="M3:S3"/>
    <mergeCell ref="T3:AF3"/>
    <mergeCell ref="AJ3:AL3"/>
    <mergeCell ref="AM3:AR3"/>
    <mergeCell ref="AV2:BA2"/>
    <mergeCell ref="B2:G2"/>
    <mergeCell ref="H2:L2"/>
    <mergeCell ref="M2:S2"/>
    <mergeCell ref="T2:AF2"/>
    <mergeCell ref="AS2:AU2"/>
  </mergeCells>
  <phoneticPr fontId="3"/>
  <pageMargins left="0.39370078740157483" right="0.39370078740157483" top="0.59055118110236227" bottom="0.59055118110236227" header="0.31496062992125984" footer="0.31496062992125984"/>
  <pageSetup paperSize="9" scale="47" orientation="landscape" r:id="rId1"/>
  <headerFooter>
    <oddFooter>&amp;P / &amp;N ページ</oddFooter>
  </headerFooter>
  <rowBreaks count="1" manualBreakCount="1">
    <brk id="58" max="5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B1:BK79"/>
  <sheetViews>
    <sheetView showGridLines="0" view="pageBreakPreview" zoomScaleNormal="55" zoomScaleSheetLayoutView="100" workbookViewId="0"/>
  </sheetViews>
  <sheetFormatPr defaultColWidth="2.453125" defaultRowHeight="13.5" customHeight="1" x14ac:dyDescent="0.2"/>
  <cols>
    <col min="1" max="1" width="2.453125" style="21"/>
    <col min="2" max="9" width="2.453125" style="21" customWidth="1"/>
    <col min="10" max="16384" width="2.453125" style="21"/>
  </cols>
  <sheetData>
    <row r="1" spans="2:63" s="1" customFormat="1" ht="13" x14ac:dyDescent="0.2"/>
    <row r="2" spans="2:63" s="1" customFormat="1" ht="13" x14ac:dyDescent="0.2">
      <c r="B2" s="111" t="s">
        <v>1</v>
      </c>
      <c r="C2" s="111"/>
      <c r="D2" s="111"/>
      <c r="E2" s="111"/>
      <c r="F2" s="111"/>
      <c r="G2" s="111"/>
      <c r="H2" s="116" t="str">
        <f>表紙!H5</f>
        <v>BSPS</v>
      </c>
      <c r="I2" s="117"/>
      <c r="J2" s="117"/>
      <c r="K2" s="117"/>
      <c r="L2" s="117"/>
      <c r="M2" s="111" t="s">
        <v>2</v>
      </c>
      <c r="N2" s="111"/>
      <c r="O2" s="111"/>
      <c r="P2" s="111"/>
      <c r="Q2" s="111"/>
      <c r="R2" s="111"/>
      <c r="S2" s="111"/>
      <c r="T2" s="116" t="str">
        <f>表紙!T5</f>
        <v>バトルポータルシュミレーター</v>
      </c>
      <c r="U2" s="117"/>
      <c r="V2" s="117"/>
      <c r="W2" s="117"/>
      <c r="X2" s="117"/>
      <c r="Y2" s="117"/>
      <c r="Z2" s="117"/>
      <c r="AA2" s="117"/>
      <c r="AB2" s="117"/>
      <c r="AC2" s="117"/>
      <c r="AD2" s="117"/>
      <c r="AE2" s="117"/>
      <c r="AF2" s="118"/>
      <c r="AS2" s="128" t="s">
        <v>15</v>
      </c>
      <c r="AT2" s="129"/>
      <c r="AU2" s="130"/>
      <c r="AV2" s="134">
        <f>表紙!N14</f>
        <v>1</v>
      </c>
      <c r="AW2" s="135"/>
      <c r="AX2" s="135"/>
      <c r="AY2" s="135"/>
      <c r="AZ2" s="135"/>
      <c r="BA2" s="136"/>
    </row>
    <row r="3" spans="2:63" s="1" customFormat="1" ht="13" x14ac:dyDescent="0.2">
      <c r="B3" s="111" t="s">
        <v>4</v>
      </c>
      <c r="C3" s="111"/>
      <c r="D3" s="111"/>
      <c r="E3" s="111"/>
      <c r="F3" s="111"/>
      <c r="G3" s="111"/>
      <c r="H3" s="116" t="str">
        <f>表紙!H6</f>
        <v>PK</v>
      </c>
      <c r="I3" s="117"/>
      <c r="J3" s="117"/>
      <c r="K3" s="117"/>
      <c r="L3" s="117"/>
      <c r="M3" s="111" t="s">
        <v>6</v>
      </c>
      <c r="N3" s="111"/>
      <c r="O3" s="111"/>
      <c r="P3" s="111"/>
      <c r="Q3" s="111"/>
      <c r="R3" s="111"/>
      <c r="S3" s="111"/>
      <c r="T3" s="116" t="str">
        <f>表紙!T6</f>
        <v>ポータル</v>
      </c>
      <c r="U3" s="117"/>
      <c r="V3" s="117"/>
      <c r="W3" s="117"/>
      <c r="X3" s="117"/>
      <c r="Y3" s="117"/>
      <c r="Z3" s="117"/>
      <c r="AA3" s="117"/>
      <c r="AB3" s="117"/>
      <c r="AC3" s="117"/>
      <c r="AD3" s="117"/>
      <c r="AE3" s="117"/>
      <c r="AF3" s="118"/>
      <c r="AJ3" s="128" t="s">
        <v>11</v>
      </c>
      <c r="AK3" s="129"/>
      <c r="AL3" s="130"/>
      <c r="AM3" s="116" t="str">
        <f>表紙!N10</f>
        <v>須賀</v>
      </c>
      <c r="AN3" s="117"/>
      <c r="AO3" s="117"/>
      <c r="AP3" s="117"/>
      <c r="AQ3" s="117"/>
      <c r="AR3" s="118"/>
      <c r="AS3" s="128" t="s">
        <v>13</v>
      </c>
      <c r="AT3" s="129"/>
      <c r="AU3" s="130"/>
      <c r="AV3" s="116" t="str">
        <f>表紙!N12</f>
        <v>須賀</v>
      </c>
      <c r="AW3" s="117"/>
      <c r="AX3" s="117"/>
      <c r="AY3" s="117"/>
      <c r="AZ3" s="117"/>
      <c r="BA3" s="118"/>
    </row>
    <row r="4" spans="2:63" s="1" customFormat="1" ht="13.5" customHeight="1" x14ac:dyDescent="0.2">
      <c r="B4" s="111" t="s">
        <v>8</v>
      </c>
      <c r="C4" s="111"/>
      <c r="D4" s="111"/>
      <c r="E4" s="111"/>
      <c r="F4" s="111"/>
      <c r="G4" s="111"/>
      <c r="H4" s="116" t="str">
        <f>表紙!H7</f>
        <v>BSPSFRPK01</v>
      </c>
      <c r="I4" s="117"/>
      <c r="J4" s="117"/>
      <c r="K4" s="117"/>
      <c r="L4" s="117"/>
      <c r="M4" s="111" t="s">
        <v>9</v>
      </c>
      <c r="N4" s="111"/>
      <c r="O4" s="111"/>
      <c r="P4" s="111"/>
      <c r="Q4" s="111"/>
      <c r="R4" s="111"/>
      <c r="S4" s="111"/>
      <c r="T4" s="116" t="str">
        <f>表紙!T7</f>
        <v>共通エリア</v>
      </c>
      <c r="U4" s="117"/>
      <c r="V4" s="117"/>
      <c r="W4" s="117"/>
      <c r="X4" s="117"/>
      <c r="Y4" s="117"/>
      <c r="Z4" s="117"/>
      <c r="AA4" s="117"/>
      <c r="AB4" s="117"/>
      <c r="AC4" s="117"/>
      <c r="AD4" s="117"/>
      <c r="AE4" s="117"/>
      <c r="AF4" s="118"/>
      <c r="AJ4" s="128" t="s">
        <v>12</v>
      </c>
      <c r="AK4" s="129"/>
      <c r="AL4" s="130"/>
      <c r="AM4" s="131">
        <f>表紙!N11</f>
        <v>44471</v>
      </c>
      <c r="AN4" s="132"/>
      <c r="AO4" s="132"/>
      <c r="AP4" s="132"/>
      <c r="AQ4" s="132"/>
      <c r="AR4" s="133"/>
      <c r="AS4" s="128" t="s">
        <v>13</v>
      </c>
      <c r="AT4" s="129"/>
      <c r="AU4" s="130"/>
      <c r="AV4" s="131">
        <f>表紙!N13</f>
        <v>44471</v>
      </c>
      <c r="AW4" s="132"/>
      <c r="AX4" s="132"/>
      <c r="AY4" s="132"/>
      <c r="AZ4" s="132"/>
      <c r="BA4" s="133"/>
    </row>
    <row r="5" spans="2:63" s="1" customFormat="1" ht="13.5" customHeight="1" x14ac:dyDescent="0.2">
      <c r="AH5" s="13"/>
      <c r="AI5" s="13"/>
      <c r="AJ5" s="13"/>
      <c r="AK5" s="13"/>
      <c r="AL5" s="13"/>
      <c r="AM5" s="13"/>
      <c r="AN5" s="13"/>
      <c r="AO5" s="13"/>
      <c r="AP5" s="13"/>
      <c r="AQ5" s="13"/>
      <c r="AR5" s="13"/>
      <c r="AS5" s="13"/>
      <c r="AT5" s="13"/>
      <c r="AU5" s="13"/>
    </row>
    <row r="6" spans="2:63" ht="13.5" customHeight="1" x14ac:dyDescent="0.2">
      <c r="B6" s="159" t="s">
        <v>194</v>
      </c>
      <c r="C6" s="160"/>
      <c r="D6" s="160"/>
      <c r="E6" s="160"/>
      <c r="F6" s="160"/>
      <c r="G6" s="161"/>
      <c r="H6" s="162" t="s">
        <v>195</v>
      </c>
      <c r="I6" s="162"/>
      <c r="J6" s="162"/>
      <c r="K6" s="162"/>
      <c r="L6" s="162"/>
      <c r="M6" s="162"/>
      <c r="N6" s="162"/>
      <c r="O6" s="162"/>
      <c r="P6" s="162"/>
      <c r="Q6" s="162"/>
      <c r="R6" s="162"/>
      <c r="S6" s="162"/>
      <c r="T6" s="162"/>
      <c r="U6" s="162"/>
      <c r="V6" s="162"/>
      <c r="W6" s="111" t="s">
        <v>196</v>
      </c>
      <c r="X6" s="111"/>
      <c r="Y6" s="111"/>
      <c r="Z6" s="111"/>
      <c r="AA6" s="111"/>
      <c r="AB6" s="140" t="s">
        <v>197</v>
      </c>
      <c r="AC6" s="140"/>
      <c r="AD6" s="140"/>
      <c r="AE6" s="140"/>
      <c r="AF6" s="140"/>
      <c r="AG6" s="140"/>
      <c r="AH6" s="140"/>
      <c r="AI6" s="140"/>
      <c r="AJ6" s="140"/>
      <c r="AK6" s="140"/>
      <c r="AL6" s="140"/>
      <c r="AM6" s="140"/>
      <c r="AN6" s="140"/>
      <c r="AO6" s="140"/>
      <c r="AP6" s="140"/>
      <c r="AQ6" s="140"/>
      <c r="AR6" s="140"/>
      <c r="AS6" s="140"/>
      <c r="AT6" s="140"/>
      <c r="AU6" s="140"/>
      <c r="AV6" s="140"/>
      <c r="AW6" s="140"/>
      <c r="AX6" s="140"/>
      <c r="AY6" s="140"/>
      <c r="AZ6" s="140"/>
      <c r="BA6" s="140"/>
      <c r="BH6" s="1"/>
      <c r="BI6" s="1"/>
      <c r="BJ6" s="1"/>
      <c r="BK6" s="1"/>
    </row>
    <row r="7" spans="2:63" ht="13.5" customHeight="1" x14ac:dyDescent="0.2">
      <c r="B7" s="163" t="s">
        <v>348</v>
      </c>
      <c r="C7" s="164"/>
      <c r="D7" s="164"/>
      <c r="E7" s="164"/>
      <c r="F7" s="164"/>
      <c r="G7" s="165"/>
      <c r="H7" s="166" t="s">
        <v>265</v>
      </c>
      <c r="I7" s="166"/>
      <c r="J7" s="166"/>
      <c r="K7" s="166"/>
      <c r="L7" s="166"/>
      <c r="M7" s="166"/>
      <c r="N7" s="166"/>
      <c r="O7" s="166"/>
      <c r="P7" s="166"/>
      <c r="Q7" s="166"/>
      <c r="R7" s="166"/>
      <c r="S7" s="166"/>
      <c r="T7" s="166"/>
      <c r="U7" s="166"/>
      <c r="V7" s="166"/>
      <c r="W7" s="111" t="s">
        <v>199</v>
      </c>
      <c r="X7" s="111"/>
      <c r="Y7" s="111"/>
      <c r="Z7" s="111"/>
      <c r="AA7" s="111"/>
      <c r="AB7" s="140" t="s">
        <v>349</v>
      </c>
      <c r="AC7" s="140"/>
      <c r="AD7" s="140"/>
      <c r="AE7" s="140"/>
      <c r="AF7" s="140"/>
      <c r="AG7" s="140"/>
      <c r="AH7" s="140"/>
      <c r="AI7" s="140"/>
      <c r="AJ7" s="140"/>
      <c r="AK7" s="140"/>
      <c r="AL7" s="111" t="s">
        <v>200</v>
      </c>
      <c r="AM7" s="111"/>
      <c r="AN7" s="111"/>
      <c r="AO7" s="111"/>
      <c r="AP7" s="111"/>
      <c r="AQ7" s="111"/>
      <c r="AR7" s="137" t="s">
        <v>201</v>
      </c>
      <c r="AS7" s="138"/>
      <c r="AT7" s="138"/>
      <c r="AU7" s="138"/>
      <c r="AV7" s="138"/>
      <c r="AW7" s="138"/>
      <c r="AX7" s="138"/>
      <c r="AY7" s="138"/>
      <c r="AZ7" s="138"/>
      <c r="BA7" s="139"/>
      <c r="BH7" s="1"/>
      <c r="BI7" s="1"/>
      <c r="BJ7" s="1"/>
      <c r="BK7" s="1"/>
    </row>
    <row r="8" spans="2:63" ht="13.5" customHeight="1" x14ac:dyDescent="0.2">
      <c r="B8" s="27"/>
      <c r="C8" s="28"/>
      <c r="D8" s="28"/>
      <c r="E8" s="28"/>
      <c r="AH8" s="27"/>
      <c r="AI8" s="28"/>
      <c r="AJ8" s="28"/>
      <c r="AK8" s="28"/>
      <c r="AL8" s="28"/>
      <c r="AM8" s="28"/>
      <c r="BH8" s="1"/>
      <c r="BI8" s="1"/>
      <c r="BJ8" s="1"/>
      <c r="BK8" s="1"/>
    </row>
    <row r="9" spans="2:63" ht="13.5" customHeight="1" x14ac:dyDescent="0.2">
      <c r="B9" s="155" t="s">
        <v>166</v>
      </c>
      <c r="C9" s="155"/>
      <c r="D9" s="155"/>
      <c r="E9" s="155"/>
      <c r="F9" s="155"/>
      <c r="G9" s="155"/>
      <c r="H9" s="155"/>
      <c r="I9" s="155"/>
      <c r="J9" s="155"/>
      <c r="K9" s="155"/>
      <c r="L9" s="155"/>
      <c r="M9" s="155"/>
      <c r="N9" s="155"/>
      <c r="O9" s="155"/>
      <c r="P9" s="155"/>
      <c r="Q9" s="155"/>
      <c r="R9" s="155"/>
      <c r="S9" s="155"/>
      <c r="T9" s="155"/>
      <c r="U9" s="155"/>
      <c r="V9" s="155"/>
      <c r="W9" s="155"/>
      <c r="X9" s="155"/>
      <c r="Y9" s="155"/>
      <c r="Z9" s="155"/>
      <c r="AA9" s="155"/>
      <c r="AB9" s="155"/>
      <c r="AC9" s="155"/>
      <c r="AD9" s="155"/>
      <c r="AE9" s="155"/>
      <c r="AF9" s="155"/>
      <c r="AG9" s="155"/>
      <c r="AH9" s="155"/>
      <c r="AI9" s="155"/>
      <c r="AJ9" s="155"/>
      <c r="AK9" s="155"/>
      <c r="AL9" s="155"/>
      <c r="AM9" s="155"/>
      <c r="AN9" s="155"/>
      <c r="AO9" s="155"/>
      <c r="AP9" s="155"/>
      <c r="AQ9" s="155"/>
      <c r="AR9" s="155"/>
      <c r="AS9" s="155"/>
      <c r="AT9" s="155"/>
      <c r="AU9" s="155"/>
      <c r="AV9" s="155"/>
      <c r="AW9" s="155"/>
      <c r="AX9" s="155"/>
      <c r="AY9" s="155"/>
      <c r="AZ9" s="155"/>
      <c r="BA9" s="155"/>
    </row>
    <row r="10" spans="2:63" ht="13.5" customHeight="1" x14ac:dyDescent="0.2">
      <c r="B10" s="29" t="s">
        <v>261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1"/>
    </row>
    <row r="12" spans="2:63" ht="13.5" customHeight="1" x14ac:dyDescent="0.2">
      <c r="B12" s="32" t="s">
        <v>203</v>
      </c>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4"/>
    </row>
    <row r="13" spans="2:63" ht="13.5" customHeight="1" x14ac:dyDescent="0.2">
      <c r="B13" s="32" t="s">
        <v>204</v>
      </c>
      <c r="C13" s="33"/>
      <c r="D13" s="33"/>
      <c r="E13" s="33"/>
      <c r="F13" s="33"/>
      <c r="G13" s="34"/>
      <c r="H13" s="32" t="s">
        <v>205</v>
      </c>
      <c r="I13" s="33"/>
      <c r="J13" s="33"/>
      <c r="K13" s="33"/>
      <c r="L13" s="33"/>
      <c r="M13" s="33"/>
      <c r="N13" s="33"/>
      <c r="O13" s="33"/>
      <c r="P13" s="33"/>
      <c r="Q13" s="34"/>
      <c r="R13" s="32" t="s">
        <v>168</v>
      </c>
      <c r="S13" s="33"/>
      <c r="T13" s="33"/>
      <c r="U13" s="33"/>
      <c r="V13" s="33"/>
      <c r="W13" s="33"/>
      <c r="X13" s="33"/>
      <c r="Y13" s="33"/>
      <c r="Z13" s="33"/>
      <c r="AA13" s="33"/>
      <c r="AB13" s="33"/>
      <c r="AC13" s="33"/>
      <c r="AD13" s="33"/>
      <c r="AE13" s="33"/>
      <c r="AF13" s="34"/>
      <c r="AG13" s="32" t="s">
        <v>169</v>
      </c>
      <c r="AH13" s="33"/>
      <c r="AI13" s="33"/>
      <c r="AJ13" s="33"/>
      <c r="AK13" s="33"/>
      <c r="AL13" s="33"/>
      <c r="AM13" s="33"/>
      <c r="AN13" s="34"/>
      <c r="AO13" s="33" t="s">
        <v>46</v>
      </c>
      <c r="AP13" s="33"/>
      <c r="AQ13" s="33"/>
      <c r="AR13" s="33"/>
      <c r="AS13" s="33"/>
      <c r="AT13" s="33"/>
      <c r="AU13" s="33"/>
      <c r="AV13" s="33"/>
      <c r="AW13" s="33"/>
      <c r="AX13" s="33"/>
      <c r="AY13" s="33"/>
      <c r="AZ13" s="33"/>
      <c r="BA13" s="34"/>
    </row>
    <row r="14" spans="2:63" ht="13.5" customHeight="1" x14ac:dyDescent="0.2">
      <c r="B14" s="35" t="s">
        <v>206</v>
      </c>
      <c r="C14" s="36"/>
      <c r="D14" s="36"/>
      <c r="E14" s="36"/>
      <c r="F14" s="36"/>
      <c r="G14" s="37"/>
      <c r="H14" s="36" t="s">
        <v>55</v>
      </c>
      <c r="I14" s="36"/>
      <c r="J14" s="36"/>
      <c r="K14" s="36"/>
      <c r="L14" s="36"/>
      <c r="M14" s="36"/>
      <c r="N14" s="36"/>
      <c r="O14" s="36"/>
      <c r="P14" s="36"/>
      <c r="Q14" s="37"/>
      <c r="R14" s="36" t="s">
        <v>55</v>
      </c>
      <c r="S14" s="36"/>
      <c r="T14" s="36"/>
      <c r="U14" s="36"/>
      <c r="V14" s="36"/>
      <c r="W14" s="36"/>
      <c r="X14" s="36"/>
      <c r="Y14" s="36"/>
      <c r="Z14" s="36"/>
      <c r="AA14" s="36"/>
      <c r="AB14" s="36"/>
      <c r="AC14" s="36"/>
      <c r="AD14" s="36"/>
      <c r="AE14" s="36"/>
      <c r="AF14" s="37"/>
      <c r="AG14" s="36" t="s">
        <v>55</v>
      </c>
      <c r="AH14" s="36"/>
      <c r="AI14" s="36"/>
      <c r="AJ14" s="36"/>
      <c r="AK14" s="36"/>
      <c r="AL14" s="36"/>
      <c r="AM14" s="36"/>
      <c r="AN14" s="37"/>
      <c r="AO14" s="36" t="s">
        <v>55</v>
      </c>
      <c r="AP14" s="36"/>
      <c r="AQ14" s="36"/>
      <c r="AR14" s="36"/>
      <c r="AS14" s="36"/>
      <c r="AT14" s="36"/>
      <c r="AU14" s="36"/>
      <c r="AV14" s="36"/>
      <c r="AW14" s="36"/>
      <c r="AX14" s="36"/>
      <c r="AY14" s="36"/>
      <c r="AZ14" s="36"/>
      <c r="BA14" s="37"/>
    </row>
    <row r="16" spans="2:63" ht="13.5" customHeight="1" x14ac:dyDescent="0.2">
      <c r="B16" s="38" t="s">
        <v>207</v>
      </c>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40"/>
    </row>
    <row r="17" spans="2:53" ht="13.5" customHeight="1" x14ac:dyDescent="0.2">
      <c r="B17" s="38" t="s">
        <v>208</v>
      </c>
      <c r="C17" s="39"/>
      <c r="D17" s="39"/>
      <c r="E17" s="39"/>
      <c r="F17" s="39"/>
      <c r="G17" s="40"/>
      <c r="H17" s="38" t="s">
        <v>205</v>
      </c>
      <c r="I17" s="39"/>
      <c r="J17" s="39"/>
      <c r="K17" s="39"/>
      <c r="L17" s="39"/>
      <c r="M17" s="39"/>
      <c r="N17" s="39"/>
      <c r="O17" s="39"/>
      <c r="P17" s="39"/>
      <c r="Q17" s="40"/>
      <c r="R17" s="38" t="s">
        <v>168</v>
      </c>
      <c r="S17" s="39"/>
      <c r="T17" s="39"/>
      <c r="U17" s="39"/>
      <c r="V17" s="39"/>
      <c r="W17" s="39"/>
      <c r="X17" s="39"/>
      <c r="Y17" s="39"/>
      <c r="Z17" s="39"/>
      <c r="AA17" s="39"/>
      <c r="AB17" s="39"/>
      <c r="AC17" s="39"/>
      <c r="AD17" s="39"/>
      <c r="AE17" s="39"/>
      <c r="AF17" s="40"/>
      <c r="AG17" s="38" t="s">
        <v>169</v>
      </c>
      <c r="AH17" s="39"/>
      <c r="AI17" s="39"/>
      <c r="AJ17" s="39"/>
      <c r="AK17" s="39"/>
      <c r="AL17" s="39"/>
      <c r="AM17" s="39"/>
      <c r="AN17" s="40"/>
      <c r="AO17" s="39" t="s">
        <v>46</v>
      </c>
      <c r="AP17" s="39"/>
      <c r="AQ17" s="39"/>
      <c r="AR17" s="39"/>
      <c r="AS17" s="39"/>
      <c r="AT17" s="39"/>
      <c r="AU17" s="39"/>
      <c r="AV17" s="39"/>
      <c r="AW17" s="39"/>
      <c r="AX17" s="39"/>
      <c r="AY17" s="39"/>
      <c r="AZ17" s="39"/>
      <c r="BA17" s="40"/>
    </row>
    <row r="18" spans="2:53" ht="13.5" customHeight="1" x14ac:dyDescent="0.2">
      <c r="B18" s="35" t="s">
        <v>206</v>
      </c>
      <c r="C18" s="36"/>
      <c r="D18" s="36"/>
      <c r="E18" s="36"/>
      <c r="F18" s="36"/>
      <c r="G18" s="37"/>
      <c r="H18" s="36" t="s">
        <v>55</v>
      </c>
      <c r="I18" s="36"/>
      <c r="J18" s="36"/>
      <c r="K18" s="36"/>
      <c r="L18" s="36"/>
      <c r="M18" s="36"/>
      <c r="N18" s="36"/>
      <c r="O18" s="36"/>
      <c r="P18" s="36"/>
      <c r="Q18" s="37"/>
      <c r="R18" s="36" t="s">
        <v>55</v>
      </c>
      <c r="S18" s="36"/>
      <c r="T18" s="36"/>
      <c r="U18" s="36"/>
      <c r="V18" s="36"/>
      <c r="W18" s="36"/>
      <c r="X18" s="36"/>
      <c r="Y18" s="36"/>
      <c r="Z18" s="36"/>
      <c r="AA18" s="36"/>
      <c r="AB18" s="36"/>
      <c r="AC18" s="36"/>
      <c r="AD18" s="36"/>
      <c r="AE18" s="36"/>
      <c r="AF18" s="37"/>
      <c r="AG18" s="36" t="s">
        <v>55</v>
      </c>
      <c r="AH18" s="36"/>
      <c r="AI18" s="36"/>
      <c r="AJ18" s="36"/>
      <c r="AK18" s="36"/>
      <c r="AL18" s="36"/>
      <c r="AM18" s="36"/>
      <c r="AN18" s="37"/>
      <c r="AO18" s="36" t="s">
        <v>55</v>
      </c>
      <c r="AP18" s="36"/>
      <c r="AQ18" s="36"/>
      <c r="AR18" s="36"/>
      <c r="AS18" s="36"/>
      <c r="AT18" s="36"/>
      <c r="AU18" s="36"/>
      <c r="AV18" s="36"/>
      <c r="AW18" s="36"/>
      <c r="AX18" s="36"/>
      <c r="AY18" s="36"/>
      <c r="AZ18" s="36"/>
      <c r="BA18" s="37"/>
    </row>
    <row r="19" spans="2:53" ht="13.5" customHeight="1" x14ac:dyDescent="0.2">
      <c r="B19" s="35" t="s">
        <v>152</v>
      </c>
      <c r="C19" s="36"/>
      <c r="D19" s="36"/>
      <c r="E19" s="36"/>
      <c r="F19" s="36"/>
      <c r="G19" s="37"/>
      <c r="H19" s="36" t="s">
        <v>154</v>
      </c>
      <c r="I19" s="36"/>
      <c r="J19" s="36"/>
      <c r="K19" s="36"/>
      <c r="L19" s="36"/>
      <c r="M19" s="36"/>
      <c r="N19" s="36"/>
      <c r="O19" s="36"/>
      <c r="P19" s="36"/>
      <c r="Q19" s="37"/>
      <c r="R19" s="36" t="s">
        <v>209</v>
      </c>
      <c r="S19" s="36"/>
      <c r="T19" s="36"/>
      <c r="U19" s="36"/>
      <c r="V19" s="36"/>
      <c r="W19" s="36"/>
      <c r="X19" s="36"/>
      <c r="Y19" s="36"/>
      <c r="Z19" s="36"/>
      <c r="AA19" s="36"/>
      <c r="AB19" s="36"/>
      <c r="AC19" s="36"/>
      <c r="AD19" s="36"/>
      <c r="AE19" s="36"/>
      <c r="AF19" s="37"/>
      <c r="AG19" s="36" t="s">
        <v>170</v>
      </c>
      <c r="AH19" s="36"/>
      <c r="AI19" s="36"/>
      <c r="AJ19" s="36"/>
      <c r="AK19" s="36"/>
      <c r="AL19" s="36"/>
      <c r="AM19" s="36"/>
      <c r="AN19" s="37"/>
      <c r="AO19" s="36" t="s">
        <v>210</v>
      </c>
      <c r="AP19" s="36"/>
      <c r="AQ19" s="36"/>
      <c r="AR19" s="36"/>
      <c r="AS19" s="36"/>
      <c r="AT19" s="36"/>
      <c r="AU19" s="36"/>
      <c r="AV19" s="36"/>
      <c r="AW19" s="36"/>
      <c r="AX19" s="36"/>
      <c r="AY19" s="36"/>
      <c r="AZ19" s="36"/>
      <c r="BA19" s="37"/>
    </row>
    <row r="20" spans="2:53" ht="13.5" customHeight="1" x14ac:dyDescent="0.2">
      <c r="B20" s="35" t="s">
        <v>152</v>
      </c>
      <c r="C20" s="36"/>
      <c r="D20" s="36"/>
      <c r="E20" s="36"/>
      <c r="F20" s="36"/>
      <c r="G20" s="37"/>
      <c r="H20" s="36" t="s">
        <v>211</v>
      </c>
      <c r="I20" s="36"/>
      <c r="J20" s="36"/>
      <c r="K20" s="36"/>
      <c r="L20" s="36"/>
      <c r="M20" s="36"/>
      <c r="N20" s="36"/>
      <c r="O20" s="36"/>
      <c r="P20" s="36"/>
      <c r="Q20" s="37"/>
      <c r="R20" s="36" t="s">
        <v>212</v>
      </c>
      <c r="S20" s="36"/>
      <c r="T20" s="36"/>
      <c r="U20" s="36"/>
      <c r="V20" s="36"/>
      <c r="W20" s="36"/>
      <c r="X20" s="36"/>
      <c r="Y20" s="36"/>
      <c r="Z20" s="36"/>
      <c r="AA20" s="36"/>
      <c r="AB20" s="36"/>
      <c r="AC20" s="36"/>
      <c r="AD20" s="36"/>
      <c r="AE20" s="36"/>
      <c r="AF20" s="37"/>
      <c r="AG20" s="36" t="s">
        <v>171</v>
      </c>
      <c r="AH20" s="36"/>
      <c r="AI20" s="36"/>
      <c r="AJ20" s="36"/>
      <c r="AK20" s="36"/>
      <c r="AL20" s="36"/>
      <c r="AM20" s="36"/>
      <c r="AN20" s="37"/>
      <c r="AO20" s="36" t="s">
        <v>213</v>
      </c>
      <c r="AP20" s="36"/>
      <c r="AQ20" s="36"/>
      <c r="AR20" s="36"/>
      <c r="AS20" s="36"/>
      <c r="AT20" s="36"/>
      <c r="AU20" s="36"/>
      <c r="AV20" s="36"/>
      <c r="AW20" s="36"/>
      <c r="AX20" s="36"/>
      <c r="AY20" s="36"/>
      <c r="AZ20" s="36"/>
      <c r="BA20" s="37"/>
    </row>
    <row r="23" spans="2:53" ht="13.5" customHeight="1" x14ac:dyDescent="0.2">
      <c r="B23" s="156" t="s">
        <v>217</v>
      </c>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8"/>
    </row>
    <row r="24" spans="2:53" ht="13.5" customHeight="1" x14ac:dyDescent="0.2">
      <c r="B24" s="44" t="s">
        <v>262</v>
      </c>
      <c r="BA24" s="45"/>
    </row>
    <row r="25" spans="2:53" ht="13.5" customHeight="1" x14ac:dyDescent="0.2">
      <c r="B25" s="44"/>
      <c r="BA25" s="45"/>
    </row>
    <row r="26" spans="2:53" ht="13.5" customHeight="1" thickBot="1" x14ac:dyDescent="0.25">
      <c r="B26" s="44"/>
      <c r="D26" s="55" t="s">
        <v>219</v>
      </c>
      <c r="E26" s="56"/>
      <c r="F26" s="56"/>
      <c r="G26" s="56"/>
      <c r="H26" s="56"/>
      <c r="I26" s="56"/>
      <c r="J26" s="56"/>
      <c r="K26" s="56"/>
      <c r="L26" s="56"/>
      <c r="M26" s="56"/>
      <c r="N26" s="56"/>
      <c r="O26" s="56"/>
      <c r="P26" s="56"/>
      <c r="Q26" s="56"/>
      <c r="R26" s="56"/>
      <c r="S26" s="55" t="s">
        <v>220</v>
      </c>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7"/>
      <c r="BA26" s="45"/>
    </row>
    <row r="27" spans="2:53" ht="13.5" customHeight="1" thickTop="1" x14ac:dyDescent="0.2">
      <c r="B27" s="44"/>
      <c r="D27" s="49" t="s">
        <v>223</v>
      </c>
      <c r="E27" s="50"/>
      <c r="F27" s="50"/>
      <c r="G27" s="50"/>
      <c r="H27" s="50"/>
      <c r="I27" s="50"/>
      <c r="J27" s="50"/>
      <c r="K27" s="50"/>
      <c r="L27" s="50"/>
      <c r="M27" s="50"/>
      <c r="N27" s="50"/>
      <c r="O27" s="50"/>
      <c r="P27" s="50"/>
      <c r="Q27" s="50"/>
      <c r="R27" s="50"/>
      <c r="S27" s="49" t="s">
        <v>222</v>
      </c>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1"/>
      <c r="BA27" s="45"/>
    </row>
    <row r="28" spans="2:53" ht="13.5" customHeight="1" x14ac:dyDescent="0.2">
      <c r="B28" s="44"/>
      <c r="D28" s="35" t="s">
        <v>224</v>
      </c>
      <c r="E28" s="36"/>
      <c r="F28" s="36"/>
      <c r="G28" s="36"/>
      <c r="H28" s="36"/>
      <c r="I28" s="36"/>
      <c r="J28" s="36"/>
      <c r="K28" s="36"/>
      <c r="L28" s="36"/>
      <c r="M28" s="36"/>
      <c r="N28" s="36"/>
      <c r="O28" s="36"/>
      <c r="P28" s="36"/>
      <c r="Q28" s="36"/>
      <c r="R28" s="36"/>
      <c r="S28" s="35" t="s">
        <v>225</v>
      </c>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7"/>
      <c r="BA28" s="45"/>
    </row>
    <row r="29" spans="2:53" ht="13.5" customHeight="1" x14ac:dyDescent="0.2">
      <c r="B29" s="44"/>
      <c r="BA29" s="45"/>
    </row>
    <row r="30" spans="2:53" ht="13.5" customHeight="1" x14ac:dyDescent="0.2">
      <c r="B30" s="44" t="s">
        <v>226</v>
      </c>
      <c r="BA30" s="45"/>
    </row>
    <row r="31" spans="2:53" ht="13.5" customHeight="1" x14ac:dyDescent="0.2">
      <c r="B31" s="44"/>
      <c r="BA31" s="45"/>
    </row>
    <row r="32" spans="2:53" ht="13.5" customHeight="1" thickBot="1" x14ac:dyDescent="0.25">
      <c r="B32" s="44"/>
      <c r="D32" s="55" t="s">
        <v>219</v>
      </c>
      <c r="E32" s="56"/>
      <c r="F32" s="56"/>
      <c r="G32" s="56"/>
      <c r="H32" s="56"/>
      <c r="I32" s="56"/>
      <c r="J32" s="56"/>
      <c r="K32" s="56"/>
      <c r="L32" s="56"/>
      <c r="M32" s="56"/>
      <c r="N32" s="56"/>
      <c r="O32" s="56"/>
      <c r="P32" s="56"/>
      <c r="Q32" s="56"/>
      <c r="R32" s="56"/>
      <c r="S32" s="55" t="s">
        <v>220</v>
      </c>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7"/>
      <c r="BA32" s="45"/>
    </row>
    <row r="33" spans="2:53" ht="13.5" customHeight="1" thickTop="1" x14ac:dyDescent="0.2">
      <c r="B33" s="44"/>
      <c r="D33" s="49" t="s">
        <v>227</v>
      </c>
      <c r="E33" s="50"/>
      <c r="F33" s="50"/>
      <c r="G33" s="50"/>
      <c r="H33" s="50"/>
      <c r="I33" s="50"/>
      <c r="J33" s="50"/>
      <c r="K33" s="50"/>
      <c r="L33" s="50"/>
      <c r="M33" s="50"/>
      <c r="N33" s="50"/>
      <c r="O33" s="50"/>
      <c r="P33" s="50"/>
      <c r="Q33" s="50"/>
      <c r="R33" s="50"/>
      <c r="S33" s="49" t="s">
        <v>263</v>
      </c>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1"/>
      <c r="BA33" s="45"/>
    </row>
    <row r="34" spans="2:53" ht="13.5" customHeight="1" x14ac:dyDescent="0.2">
      <c r="B34" s="44"/>
      <c r="D34" s="35" t="s">
        <v>229</v>
      </c>
      <c r="E34" s="36"/>
      <c r="F34" s="36"/>
      <c r="G34" s="36"/>
      <c r="H34" s="36"/>
      <c r="I34" s="36"/>
      <c r="J34" s="36"/>
      <c r="K34" s="36"/>
      <c r="L34" s="36"/>
      <c r="M34" s="36"/>
      <c r="N34" s="36"/>
      <c r="O34" s="36"/>
      <c r="P34" s="36"/>
      <c r="Q34" s="36"/>
      <c r="R34" s="36"/>
      <c r="S34" s="35" t="s">
        <v>264</v>
      </c>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7"/>
      <c r="BA34" s="45"/>
    </row>
    <row r="35" spans="2:53" ht="13.5" customHeight="1" x14ac:dyDescent="0.2">
      <c r="B35" s="44"/>
      <c r="BA35" s="45"/>
    </row>
    <row r="36" spans="2:53" ht="13.5" customHeight="1" x14ac:dyDescent="0.2">
      <c r="B36" s="44"/>
      <c r="D36" s="21" t="s">
        <v>231</v>
      </c>
      <c r="BA36" s="45"/>
    </row>
    <row r="37" spans="2:53" ht="13.5" customHeight="1" x14ac:dyDescent="0.2">
      <c r="B37" s="44"/>
      <c r="BA37" s="45"/>
    </row>
    <row r="38" spans="2:53" ht="13.5" customHeight="1" x14ac:dyDescent="0.2">
      <c r="B38" s="44"/>
      <c r="D38" s="38" t="s">
        <v>232</v>
      </c>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40"/>
      <c r="BA38" s="45"/>
    </row>
    <row r="39" spans="2:53" ht="13.5" customHeight="1" thickBot="1" x14ac:dyDescent="0.25">
      <c r="B39" s="44"/>
      <c r="D39" s="55" t="s">
        <v>205</v>
      </c>
      <c r="E39" s="56"/>
      <c r="F39" s="56"/>
      <c r="G39" s="56"/>
      <c r="H39" s="56"/>
      <c r="I39" s="56"/>
      <c r="J39" s="56"/>
      <c r="K39" s="56"/>
      <c r="L39" s="56"/>
      <c r="M39" s="56"/>
      <c r="N39" s="56"/>
      <c r="O39" s="56"/>
      <c r="P39" s="56"/>
      <c r="Q39" s="56"/>
      <c r="R39" s="56"/>
      <c r="S39" s="57"/>
      <c r="T39" s="55" t="s">
        <v>168</v>
      </c>
      <c r="U39" s="56"/>
      <c r="V39" s="56"/>
      <c r="W39" s="56"/>
      <c r="X39" s="56"/>
      <c r="Y39" s="56"/>
      <c r="Z39" s="56"/>
      <c r="AA39" s="56"/>
      <c r="AB39" s="57"/>
      <c r="AC39" s="55" t="s">
        <v>169</v>
      </c>
      <c r="AD39" s="56"/>
      <c r="AE39" s="56"/>
      <c r="AF39" s="56"/>
      <c r="AG39" s="56"/>
      <c r="AH39" s="56"/>
      <c r="AI39" s="56"/>
      <c r="AJ39" s="56"/>
      <c r="AK39" s="56"/>
      <c r="AL39" s="56"/>
      <c r="AM39" s="56"/>
      <c r="AN39" s="57"/>
      <c r="AO39" s="55" t="s">
        <v>46</v>
      </c>
      <c r="AP39" s="56"/>
      <c r="AQ39" s="56"/>
      <c r="AR39" s="56"/>
      <c r="AS39" s="56"/>
      <c r="AT39" s="56"/>
      <c r="AU39" s="56"/>
      <c r="AV39" s="56"/>
      <c r="AW39" s="56"/>
      <c r="AX39" s="56"/>
      <c r="AY39" s="57"/>
      <c r="BA39" s="45"/>
    </row>
    <row r="40" spans="2:53" ht="13.5" customHeight="1" thickTop="1" x14ac:dyDescent="0.2">
      <c r="B40" s="44"/>
      <c r="D40" s="29" t="s">
        <v>234</v>
      </c>
      <c r="E40" s="30"/>
      <c r="F40" s="30"/>
      <c r="G40" s="30"/>
      <c r="H40" s="30"/>
      <c r="I40" s="30"/>
      <c r="J40" s="30"/>
      <c r="K40" s="30"/>
      <c r="L40" s="30"/>
      <c r="M40" s="30"/>
      <c r="N40" s="30"/>
      <c r="O40" s="30"/>
      <c r="P40" s="30"/>
      <c r="Q40" s="30"/>
      <c r="R40" s="30"/>
      <c r="S40" s="31"/>
      <c r="T40" s="30" t="s">
        <v>235</v>
      </c>
      <c r="U40" s="30"/>
      <c r="V40" s="30"/>
      <c r="W40" s="30"/>
      <c r="X40" s="30"/>
      <c r="Y40" s="30"/>
      <c r="Z40" s="30"/>
      <c r="AA40" s="30"/>
      <c r="AB40" s="31"/>
      <c r="AC40" s="30" t="s">
        <v>170</v>
      </c>
      <c r="AD40" s="30"/>
      <c r="AE40" s="30"/>
      <c r="AF40" s="30"/>
      <c r="AG40" s="30"/>
      <c r="AH40" s="30"/>
      <c r="AI40" s="30"/>
      <c r="AJ40" s="30"/>
      <c r="AK40" s="30"/>
      <c r="AL40" s="30"/>
      <c r="AM40" s="30"/>
      <c r="AN40" s="31"/>
      <c r="AO40" s="30" t="s">
        <v>55</v>
      </c>
      <c r="AP40" s="30"/>
      <c r="AQ40" s="30"/>
      <c r="AR40" s="30"/>
      <c r="AS40" s="30"/>
      <c r="AT40" s="30"/>
      <c r="AU40" s="30"/>
      <c r="AV40" s="30"/>
      <c r="AW40" s="30"/>
      <c r="AX40" s="30"/>
      <c r="AY40" s="31"/>
      <c r="BA40" s="45"/>
    </row>
    <row r="41" spans="2:53" ht="13.5" customHeight="1" x14ac:dyDescent="0.2">
      <c r="B41" s="44"/>
      <c r="BA41" s="45"/>
    </row>
    <row r="42" spans="2:53" ht="13.5" customHeight="1" x14ac:dyDescent="0.2">
      <c r="B42" s="44"/>
      <c r="D42" s="32" t="s">
        <v>236</v>
      </c>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4"/>
      <c r="BA42" s="45"/>
    </row>
    <row r="43" spans="2:53" ht="13.5" customHeight="1" thickBot="1" x14ac:dyDescent="0.25">
      <c r="B43" s="44"/>
      <c r="D43" s="52" t="s">
        <v>205</v>
      </c>
      <c r="E43" s="53"/>
      <c r="F43" s="53"/>
      <c r="G43" s="53"/>
      <c r="H43" s="53"/>
      <c r="I43" s="53"/>
      <c r="J43" s="53"/>
      <c r="K43" s="53"/>
      <c r="L43" s="53"/>
      <c r="M43" s="53"/>
      <c r="N43" s="53"/>
      <c r="O43" s="53"/>
      <c r="P43" s="53"/>
      <c r="Q43" s="53"/>
      <c r="R43" s="53"/>
      <c r="S43" s="54"/>
      <c r="T43" s="52" t="s">
        <v>168</v>
      </c>
      <c r="U43" s="53"/>
      <c r="V43" s="53"/>
      <c r="W43" s="53"/>
      <c r="X43" s="53"/>
      <c r="Y43" s="53"/>
      <c r="Z43" s="53"/>
      <c r="AA43" s="53"/>
      <c r="AB43" s="54"/>
      <c r="AC43" s="52" t="s">
        <v>169</v>
      </c>
      <c r="AD43" s="53"/>
      <c r="AE43" s="53"/>
      <c r="AF43" s="53"/>
      <c r="AG43" s="53"/>
      <c r="AH43" s="53"/>
      <c r="AI43" s="53"/>
      <c r="AJ43" s="53"/>
      <c r="AK43" s="53"/>
      <c r="AL43" s="53"/>
      <c r="AM43" s="53"/>
      <c r="AN43" s="54"/>
      <c r="AO43" s="52" t="s">
        <v>46</v>
      </c>
      <c r="AP43" s="53"/>
      <c r="AQ43" s="53"/>
      <c r="AR43" s="53"/>
      <c r="AS43" s="53"/>
      <c r="AT43" s="53"/>
      <c r="AU43" s="53"/>
      <c r="AV43" s="53"/>
      <c r="AW43" s="53"/>
      <c r="AX43" s="53"/>
      <c r="AY43" s="54"/>
      <c r="BA43" s="45"/>
    </row>
    <row r="44" spans="2:53" ht="13.5" customHeight="1" thickTop="1" x14ac:dyDescent="0.2">
      <c r="B44" s="44"/>
      <c r="D44" s="29" t="s">
        <v>237</v>
      </c>
      <c r="E44" s="30"/>
      <c r="F44" s="30"/>
      <c r="G44" s="30"/>
      <c r="H44" s="30"/>
      <c r="I44" s="30"/>
      <c r="J44" s="30"/>
      <c r="K44" s="30"/>
      <c r="L44" s="30"/>
      <c r="M44" s="30"/>
      <c r="N44" s="30"/>
      <c r="O44" s="30"/>
      <c r="P44" s="30"/>
      <c r="Q44" s="30"/>
      <c r="R44" s="30"/>
      <c r="S44" s="31"/>
      <c r="T44" s="30" t="s">
        <v>238</v>
      </c>
      <c r="U44" s="30"/>
      <c r="V44" s="30"/>
      <c r="W44" s="30"/>
      <c r="X44" s="30"/>
      <c r="Y44" s="30"/>
      <c r="Z44" s="30"/>
      <c r="AA44" s="30"/>
      <c r="AB44" s="31"/>
      <c r="AC44" s="30" t="s">
        <v>171</v>
      </c>
      <c r="AD44" s="30"/>
      <c r="AE44" s="30"/>
      <c r="AF44" s="30"/>
      <c r="AG44" s="30"/>
      <c r="AH44" s="30"/>
      <c r="AI44" s="30"/>
      <c r="AJ44" s="30"/>
      <c r="AK44" s="30"/>
      <c r="AL44" s="30"/>
      <c r="AM44" s="30"/>
      <c r="AN44" s="31"/>
      <c r="AO44" s="30" t="s">
        <v>55</v>
      </c>
      <c r="AP44" s="30"/>
      <c r="AQ44" s="30"/>
      <c r="AR44" s="30"/>
      <c r="AS44" s="30"/>
      <c r="AT44" s="30"/>
      <c r="AU44" s="30"/>
      <c r="AV44" s="30"/>
      <c r="AW44" s="30"/>
      <c r="AX44" s="30"/>
      <c r="AY44" s="31"/>
      <c r="BA44" s="45"/>
    </row>
    <row r="45" spans="2:53" ht="13.5" customHeight="1" x14ac:dyDescent="0.2">
      <c r="B45" s="44"/>
      <c r="BA45" s="45"/>
    </row>
    <row r="46" spans="2:53" ht="13.5" customHeight="1" x14ac:dyDescent="0.2">
      <c r="B46" s="44"/>
      <c r="D46" s="21" t="s">
        <v>239</v>
      </c>
      <c r="BA46" s="45"/>
    </row>
    <row r="47" spans="2:53" ht="13.5" customHeight="1" x14ac:dyDescent="0.2">
      <c r="B47" s="44"/>
      <c r="BA47" s="45"/>
    </row>
    <row r="48" spans="2:53" ht="13.5" customHeight="1" x14ac:dyDescent="0.2">
      <c r="B48" s="44"/>
      <c r="D48" s="21" t="s">
        <v>266</v>
      </c>
      <c r="BA48" s="45"/>
    </row>
    <row r="49" spans="2:53" ht="13.5" customHeight="1" x14ac:dyDescent="0.2">
      <c r="B49" s="44"/>
      <c r="D49" s="21" t="s">
        <v>267</v>
      </c>
      <c r="BA49" s="45"/>
    </row>
    <row r="50" spans="2:53" ht="13.5" customHeight="1" x14ac:dyDescent="0.2">
      <c r="B50" s="44"/>
      <c r="D50" s="21" t="s">
        <v>268</v>
      </c>
      <c r="BA50" s="45"/>
    </row>
    <row r="51" spans="2:53" ht="13.5" customHeight="1" x14ac:dyDescent="0.2">
      <c r="B51" s="44"/>
      <c r="D51" s="21" t="s">
        <v>269</v>
      </c>
      <c r="BA51" s="45"/>
    </row>
    <row r="52" spans="2:53" ht="13.5" customHeight="1" x14ac:dyDescent="0.2">
      <c r="B52" s="44"/>
      <c r="D52" s="21" t="s">
        <v>270</v>
      </c>
      <c r="BA52" s="45"/>
    </row>
    <row r="53" spans="2:53" ht="13.5" customHeight="1" x14ac:dyDescent="0.2">
      <c r="B53" s="44"/>
      <c r="D53" s="21" t="s">
        <v>271</v>
      </c>
      <c r="BA53" s="45"/>
    </row>
    <row r="54" spans="2:53" ht="13.5" customHeight="1" x14ac:dyDescent="0.2">
      <c r="B54" s="44"/>
      <c r="BA54" s="45"/>
    </row>
    <row r="55" spans="2:53" ht="13.5" customHeight="1" x14ac:dyDescent="0.2">
      <c r="B55" s="44"/>
      <c r="D55" s="21" t="s">
        <v>272</v>
      </c>
      <c r="BA55" s="45"/>
    </row>
    <row r="56" spans="2:53" ht="13.5" customHeight="1" x14ac:dyDescent="0.2">
      <c r="B56" s="44"/>
      <c r="D56" s="21" t="s">
        <v>273</v>
      </c>
      <c r="BA56" s="45"/>
    </row>
    <row r="57" spans="2:53" ht="13.5" customHeight="1" x14ac:dyDescent="0.2">
      <c r="B57" s="44"/>
      <c r="D57" s="21" t="s">
        <v>274</v>
      </c>
      <c r="BA57" s="45"/>
    </row>
    <row r="58" spans="2:53" ht="13.5" customHeight="1" x14ac:dyDescent="0.2">
      <c r="B58" s="44"/>
      <c r="D58" s="21" t="s">
        <v>275</v>
      </c>
      <c r="BA58" s="45"/>
    </row>
    <row r="59" spans="2:53" ht="13.5" customHeight="1" x14ac:dyDescent="0.2">
      <c r="B59" s="44"/>
      <c r="D59" s="21" t="s">
        <v>276</v>
      </c>
      <c r="BA59" s="45"/>
    </row>
    <row r="60" spans="2:53" ht="13.5" customHeight="1" x14ac:dyDescent="0.2">
      <c r="B60" s="44"/>
      <c r="D60" s="21" t="s">
        <v>277</v>
      </c>
      <c r="BA60" s="45"/>
    </row>
    <row r="61" spans="2:53" ht="13.5" customHeight="1" x14ac:dyDescent="0.2">
      <c r="B61" s="44"/>
      <c r="D61" s="21" t="s">
        <v>278</v>
      </c>
      <c r="BA61" s="45"/>
    </row>
    <row r="62" spans="2:53" ht="13.5" customHeight="1" x14ac:dyDescent="0.2">
      <c r="B62" s="44"/>
      <c r="D62" s="21" t="s">
        <v>279</v>
      </c>
      <c r="BA62" s="45"/>
    </row>
    <row r="63" spans="2:53" ht="13.5" customHeight="1" x14ac:dyDescent="0.2">
      <c r="B63" s="44"/>
      <c r="D63" s="21" t="s">
        <v>280</v>
      </c>
      <c r="BA63" s="45"/>
    </row>
    <row r="64" spans="2:53" ht="13.5" customHeight="1" x14ac:dyDescent="0.2">
      <c r="B64" s="44"/>
      <c r="D64" s="21" t="s">
        <v>281</v>
      </c>
      <c r="BA64" s="45"/>
    </row>
    <row r="65" spans="2:53" ht="13.5" customHeight="1" x14ac:dyDescent="0.2">
      <c r="B65" s="44"/>
      <c r="D65" s="21" t="s">
        <v>282</v>
      </c>
      <c r="BA65" s="45"/>
    </row>
    <row r="66" spans="2:53" ht="13.5" customHeight="1" x14ac:dyDescent="0.2">
      <c r="B66" s="44"/>
      <c r="D66" s="21" t="s">
        <v>283</v>
      </c>
      <c r="BA66" s="45"/>
    </row>
    <row r="67" spans="2:53" ht="13.5" customHeight="1" x14ac:dyDescent="0.2">
      <c r="B67" s="44"/>
      <c r="D67" s="21" t="s">
        <v>284</v>
      </c>
      <c r="BA67" s="45"/>
    </row>
    <row r="68" spans="2:53" ht="13.5" customHeight="1" x14ac:dyDescent="0.2">
      <c r="B68" s="44"/>
      <c r="D68" s="21" t="s">
        <v>285</v>
      </c>
      <c r="BA68" s="45"/>
    </row>
    <row r="69" spans="2:53" ht="13.5" customHeight="1" x14ac:dyDescent="0.2">
      <c r="B69" s="44"/>
      <c r="D69" s="21" t="s">
        <v>286</v>
      </c>
      <c r="BA69" s="45"/>
    </row>
    <row r="70" spans="2:53" ht="13.5" customHeight="1" x14ac:dyDescent="0.2">
      <c r="B70" s="44"/>
      <c r="D70" s="21" t="s">
        <v>287</v>
      </c>
      <c r="BA70" s="45"/>
    </row>
    <row r="71" spans="2:53" ht="13.5" customHeight="1" x14ac:dyDescent="0.2">
      <c r="B71" s="44"/>
      <c r="BA71" s="45"/>
    </row>
    <row r="72" spans="2:53" ht="13.5" customHeight="1" x14ac:dyDescent="0.2">
      <c r="B72" s="44"/>
      <c r="BA72" s="45"/>
    </row>
    <row r="73" spans="2:53" ht="13.5" customHeight="1" x14ac:dyDescent="0.2">
      <c r="B73" s="44"/>
      <c r="BA73" s="45"/>
    </row>
    <row r="74" spans="2:53" ht="13.5" customHeight="1" x14ac:dyDescent="0.2">
      <c r="B74" s="44"/>
      <c r="BA74" s="45"/>
    </row>
    <row r="75" spans="2:53" ht="13.5" customHeight="1" x14ac:dyDescent="0.2">
      <c r="B75" s="44"/>
      <c r="BA75" s="45"/>
    </row>
    <row r="76" spans="2:53" ht="13.5" customHeight="1" x14ac:dyDescent="0.2">
      <c r="B76" s="44"/>
      <c r="BA76" s="45"/>
    </row>
    <row r="77" spans="2:53" ht="13.5" customHeight="1" x14ac:dyDescent="0.2">
      <c r="B77" s="44"/>
      <c r="BA77" s="45"/>
    </row>
    <row r="78" spans="2:53" ht="13.5" customHeight="1" x14ac:dyDescent="0.2">
      <c r="B78" s="44"/>
      <c r="BA78" s="45"/>
    </row>
    <row r="79" spans="2:53" ht="13.5" customHeight="1" x14ac:dyDescent="0.2">
      <c r="B79" s="29"/>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1"/>
    </row>
  </sheetData>
  <mergeCells count="34">
    <mergeCell ref="B9:BA9"/>
    <mergeCell ref="B23:BA23"/>
    <mergeCell ref="B6:G6"/>
    <mergeCell ref="H6:V6"/>
    <mergeCell ref="W6:AA6"/>
    <mergeCell ref="AB6:BA6"/>
    <mergeCell ref="B7:G7"/>
    <mergeCell ref="H7:V7"/>
    <mergeCell ref="W7:AA7"/>
    <mergeCell ref="AB7:AK7"/>
    <mergeCell ref="AL7:AQ7"/>
    <mergeCell ref="AR7:BA7"/>
    <mergeCell ref="AS3:AU3"/>
    <mergeCell ref="AV3:BA3"/>
    <mergeCell ref="B4:G4"/>
    <mergeCell ref="H4:L4"/>
    <mergeCell ref="M4:S4"/>
    <mergeCell ref="T4:AF4"/>
    <mergeCell ref="AJ4:AL4"/>
    <mergeCell ref="AM4:AR4"/>
    <mergeCell ref="AS4:AU4"/>
    <mergeCell ref="AV4:BA4"/>
    <mergeCell ref="B3:G3"/>
    <mergeCell ref="H3:L3"/>
    <mergeCell ref="M3:S3"/>
    <mergeCell ref="T3:AF3"/>
    <mergeCell ref="AJ3:AL3"/>
    <mergeCell ref="AM3:AR3"/>
    <mergeCell ref="AV2:BA2"/>
    <mergeCell ref="B2:G2"/>
    <mergeCell ref="H2:L2"/>
    <mergeCell ref="M2:S2"/>
    <mergeCell ref="T2:AF2"/>
    <mergeCell ref="AS2:AU2"/>
  </mergeCells>
  <phoneticPr fontId="3"/>
  <pageMargins left="0.39370078740157483" right="0.39370078740157483" top="0.59055118110236227" bottom="0.59055118110236227" header="0.31496062992125984" footer="0.31496062992125984"/>
  <pageSetup paperSize="9" scale="47" orientation="landscape" r:id="rId1"/>
  <headerFooter>
    <oddFooter>&amp;P / &amp;N ページ</oddFooter>
  </headerFooter>
  <rowBreaks count="1" manualBreakCount="1">
    <brk id="74" max="5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12</vt:i4>
      </vt:variant>
    </vt:vector>
  </HeadingPairs>
  <TitlesOfParts>
    <vt:vector size="25" baseType="lpstr">
      <vt:lpstr>表紙</vt:lpstr>
      <vt:lpstr>改訂履歴</vt:lpstr>
      <vt:lpstr>画面説明</vt:lpstr>
      <vt:lpstr>画面レイアウト_未ログイン</vt:lpstr>
      <vt:lpstr>画面レイアウト_ログイン時</vt:lpstr>
      <vt:lpstr>画面レイアウト_ユーザーメニュー</vt:lpstr>
      <vt:lpstr>画面レイアウト_カード詳細検索</vt:lpstr>
      <vt:lpstr>画面項目一覧</vt:lpstr>
      <vt:lpstr>画面表示制御</vt:lpstr>
      <vt:lpstr>イベント定義</vt:lpstr>
      <vt:lpstr>BSPSFRPK01_BS01_共通エリア初期表示処理</vt:lpstr>
      <vt:lpstr>BPSBCPK0102_ログアウト処理</vt:lpstr>
      <vt:lpstr>BPSBCPK0103_カード検索処理</vt:lpstr>
      <vt:lpstr>BPSBCPK0102_ログアウト処理!Print_Area</vt:lpstr>
      <vt:lpstr>BPSBCPK0103_カード検索処理!Print_Area</vt:lpstr>
      <vt:lpstr>BSPSFRPK01_BS01_共通エリア初期表示処理!Print_Area</vt:lpstr>
      <vt:lpstr>画面レイアウト_カード詳細検索!Print_Area</vt:lpstr>
      <vt:lpstr>画面レイアウト_ユーザーメニュー!Print_Area</vt:lpstr>
      <vt:lpstr>画面レイアウト_ログイン時!Print_Area</vt:lpstr>
      <vt:lpstr>画面レイアウト_未ログイン!Print_Area</vt:lpstr>
      <vt:lpstr>画面項目一覧!Print_Area</vt:lpstr>
      <vt:lpstr>画面説明!Print_Area</vt:lpstr>
      <vt:lpstr>画面表示制御!Print_Area</vt:lpstr>
      <vt:lpstr>改訂履歴!Print_Area</vt:lpstr>
      <vt:lpstr>表紙!Print_Area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2021-11-29T14:54:04Z</dcterms:modified>
  <cp:category/>
  <cp:contentStatus/>
</cp:coreProperties>
</file>