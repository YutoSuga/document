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D37FEC8C-53A9-46A5-85C5-BD32D563864C}" xr6:coauthVersionLast="46" xr6:coauthVersionMax="46" xr10:uidLastSave="{00000000-0000-0000-0000-000000000000}"/>
  <bookViews>
    <workbookView xWindow="-110" yWindow="-110" windowWidth="18460" windowHeight="12220" tabRatio="806" xr2:uid="{00000000-000D-0000-FFFF-FFFF00000000}"/>
  </bookViews>
  <sheets>
    <sheet name="表紙" sheetId="9" r:id="rId1"/>
    <sheet name="改訂履歴" sheetId="8" r:id="rId2"/>
    <sheet name="テーブル一覧" sheetId="20" r:id="rId3"/>
    <sheet name="画面表示制御" sheetId="30" r:id="rId4"/>
    <sheet name="会員" sheetId="21" r:id="rId5"/>
    <sheet name="フレンド" sheetId="36" r:id="rId6"/>
    <sheet name="チャット部屋" sheetId="34" r:id="rId7"/>
    <sheet name="ユーザー部屋" sheetId="35" r:id="rId8"/>
    <sheet name="データイメージ" sheetId="28" state="hidden" r:id="rId9"/>
    <sheet name="ER図" sheetId="1" state="hidden" r:id="rId10"/>
    <sheet name="データモデル(準備)" sheetId="22" state="hidden" r:id="rId11"/>
    <sheet name="サンプル" sheetId="29" r:id="rId12"/>
    <sheet name="デッキ" sheetId="38" r:id="rId13"/>
    <sheet name="デッキ詳細" sheetId="39" r:id="rId14"/>
    <sheet name="カード" sheetId="40" r:id="rId15"/>
    <sheet name="カード詳細" sheetId="41" r:id="rId16"/>
    <sheet name="効果" sheetId="42" r:id="rId17"/>
    <sheet name="フェイズ管理" sheetId="44" r:id="rId18"/>
    <sheet name="フェイズ管理_定義" sheetId="45" r:id="rId19"/>
    <sheet name="対戦履歴" sheetId="43" r:id="rId20"/>
  </sheets>
  <definedNames>
    <definedName name="_xlnm._FilterDatabase" localSheetId="2" hidden="1">テーブル一覧!$B$5:$G$5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45" l="1"/>
  <c r="B13" i="45"/>
  <c r="B12" i="45"/>
  <c r="B11" i="45"/>
  <c r="B10" i="45"/>
  <c r="B9" i="45"/>
  <c r="B8" i="45"/>
  <c r="B7" i="45"/>
  <c r="B6" i="45"/>
  <c r="B5" i="45"/>
  <c r="B15" i="44" l="1"/>
  <c r="B14" i="44"/>
  <c r="B13" i="44"/>
  <c r="B12" i="44"/>
  <c r="B11" i="44"/>
  <c r="B10" i="44"/>
  <c r="B9" i="44"/>
  <c r="B8" i="44"/>
  <c r="B7" i="44"/>
  <c r="B6" i="44"/>
  <c r="B35" i="43"/>
  <c r="B34" i="43"/>
  <c r="B33" i="43"/>
  <c r="B32" i="43"/>
  <c r="B31" i="43"/>
  <c r="B30" i="43"/>
  <c r="B29" i="43"/>
  <c r="B28" i="43"/>
  <c r="B27" i="43"/>
  <c r="B26" i="43"/>
  <c r="B25" i="43"/>
  <c r="B24" i="43"/>
  <c r="B23" i="43"/>
  <c r="B22" i="43"/>
  <c r="B21" i="43"/>
  <c r="B20" i="43"/>
  <c r="B19" i="43"/>
  <c r="B18" i="43"/>
  <c r="B17" i="43"/>
  <c r="B16" i="43"/>
  <c r="B15" i="43"/>
  <c r="B14" i="43"/>
  <c r="B13" i="43"/>
  <c r="B12" i="43"/>
  <c r="B11" i="43"/>
  <c r="B10" i="43"/>
  <c r="B9" i="43"/>
  <c r="B8" i="43"/>
  <c r="B7" i="43"/>
  <c r="B6" i="43"/>
  <c r="B35" i="42"/>
  <c r="B34" i="42"/>
  <c r="B33" i="42"/>
  <c r="B32" i="42"/>
  <c r="B31" i="42"/>
  <c r="B30" i="42"/>
  <c r="B29" i="42"/>
  <c r="B28" i="42"/>
  <c r="B27" i="42"/>
  <c r="B26" i="42"/>
  <c r="B25" i="42"/>
  <c r="B24" i="42"/>
  <c r="B23" i="42"/>
  <c r="B22" i="42"/>
  <c r="B21" i="42"/>
  <c r="B20" i="42"/>
  <c r="B19" i="42"/>
  <c r="B18" i="42"/>
  <c r="B17" i="42"/>
  <c r="B16" i="42"/>
  <c r="B15" i="42"/>
  <c r="B14" i="42"/>
  <c r="B13" i="42"/>
  <c r="B12" i="42"/>
  <c r="B11" i="42"/>
  <c r="B10" i="42"/>
  <c r="B9" i="42"/>
  <c r="B8" i="42"/>
  <c r="B7" i="42"/>
  <c r="B6" i="42"/>
  <c r="B35" i="41"/>
  <c r="B34" i="41"/>
  <c r="B33" i="41"/>
  <c r="B32" i="41"/>
  <c r="B31" i="41"/>
  <c r="B30" i="41"/>
  <c r="B29" i="41"/>
  <c r="B28" i="41"/>
  <c r="B27" i="41"/>
  <c r="B26" i="41"/>
  <c r="B25" i="41"/>
  <c r="B24" i="41"/>
  <c r="B23" i="41"/>
  <c r="B22" i="41"/>
  <c r="B21" i="41"/>
  <c r="B20" i="41"/>
  <c r="B19" i="41"/>
  <c r="B18" i="41"/>
  <c r="B17" i="41"/>
  <c r="B16" i="41"/>
  <c r="B15" i="41"/>
  <c r="B14" i="41"/>
  <c r="B13" i="41"/>
  <c r="B12" i="41"/>
  <c r="B11" i="41"/>
  <c r="B10" i="41"/>
  <c r="B9" i="41"/>
  <c r="B8" i="41"/>
  <c r="B7" i="41"/>
  <c r="B6" i="41"/>
  <c r="B35" i="40"/>
  <c r="B34" i="40"/>
  <c r="B33" i="40"/>
  <c r="B32" i="40"/>
  <c r="B31" i="40"/>
  <c r="B30" i="40"/>
  <c r="B29" i="40"/>
  <c r="B28" i="40"/>
  <c r="B27" i="40"/>
  <c r="B26" i="40"/>
  <c r="B25" i="40"/>
  <c r="B24" i="40"/>
  <c r="B23" i="40"/>
  <c r="B22" i="40"/>
  <c r="B21" i="40"/>
  <c r="B20" i="40"/>
  <c r="B19" i="40"/>
  <c r="B18" i="40"/>
  <c r="B17" i="40"/>
  <c r="B16" i="40"/>
  <c r="B15" i="40"/>
  <c r="B14" i="40"/>
  <c r="B13" i="40"/>
  <c r="B12" i="40"/>
  <c r="B11" i="40"/>
  <c r="B10" i="40"/>
  <c r="B9" i="40"/>
  <c r="B8" i="40"/>
  <c r="B7" i="40"/>
  <c r="B6" i="40"/>
  <c r="B9" i="39"/>
  <c r="B10" i="39"/>
  <c r="B11" i="39"/>
  <c r="B12" i="39"/>
  <c r="B13" i="39"/>
  <c r="B8" i="39"/>
  <c r="B16" i="39"/>
  <c r="B15" i="39"/>
  <c r="B14" i="39"/>
  <c r="B7" i="39"/>
  <c r="B6" i="39"/>
  <c r="B13" i="38"/>
  <c r="B12" i="38"/>
  <c r="B11" i="38"/>
  <c r="B10" i="38"/>
  <c r="B9" i="38"/>
  <c r="B17" i="35"/>
  <c r="B16" i="35"/>
  <c r="B15" i="35"/>
  <c r="B14" i="35"/>
  <c r="B13" i="35"/>
  <c r="B18" i="34"/>
  <c r="B17" i="34"/>
  <c r="B16" i="34"/>
  <c r="B15" i="34"/>
  <c r="B14" i="34"/>
  <c r="B17" i="36"/>
  <c r="B16" i="36"/>
  <c r="B15" i="36"/>
  <c r="B14" i="36"/>
  <c r="B13" i="36"/>
  <c r="B20" i="21"/>
  <c r="B19" i="21"/>
  <c r="B18" i="21"/>
  <c r="B17" i="21"/>
  <c r="B16" i="21"/>
  <c r="B16" i="30"/>
  <c r="B15" i="30"/>
  <c r="B14" i="30"/>
  <c r="B13" i="30"/>
  <c r="B12" i="30"/>
  <c r="B16" i="29"/>
  <c r="B15" i="29"/>
  <c r="B14" i="29"/>
  <c r="B13" i="29"/>
  <c r="B12" i="29"/>
  <c r="B16" i="38"/>
  <c r="B15" i="38"/>
  <c r="B14" i="38"/>
  <c r="B8" i="38"/>
  <c r="B7" i="38"/>
  <c r="B6" i="38"/>
  <c r="B12" i="36" l="1"/>
  <c r="B11" i="36"/>
  <c r="B10" i="36"/>
  <c r="B9" i="36"/>
  <c r="B8" i="36"/>
  <c r="B7" i="36"/>
  <c r="B6" i="36"/>
  <c r="B11" i="29"/>
  <c r="B10" i="29"/>
  <c r="B9" i="29"/>
  <c r="B8" i="29"/>
  <c r="B7" i="29"/>
  <c r="B6" i="29"/>
  <c r="B6" i="35"/>
  <c r="B12" i="35"/>
  <c r="B11" i="35"/>
  <c r="B10" i="35"/>
  <c r="B9" i="35"/>
  <c r="B8" i="35"/>
  <c r="B7" i="35"/>
  <c r="B13" i="34"/>
  <c r="B12" i="34"/>
  <c r="B11" i="34"/>
  <c r="B10" i="34"/>
  <c r="B9" i="34"/>
  <c r="B8" i="34"/>
  <c r="B7" i="34"/>
  <c r="B6" i="34"/>
  <c r="B15" i="21"/>
  <c r="B14" i="21"/>
  <c r="B13" i="21"/>
  <c r="B12" i="21"/>
  <c r="B11" i="21"/>
  <c r="B10" i="21"/>
  <c r="B9" i="21"/>
  <c r="B8" i="21"/>
  <c r="B7" i="21"/>
  <c r="B6" i="21"/>
  <c r="B18" i="30"/>
  <c r="B17" i="30"/>
  <c r="B11" i="30"/>
  <c r="B10" i="30"/>
  <c r="B9" i="30"/>
  <c r="B8" i="30"/>
  <c r="B7" i="30"/>
  <c r="N3" i="22" a="1"/>
  <c r="N3" i="22" s="1"/>
  <c r="N3" i="1" a="1"/>
  <c r="N3" i="1" s="1"/>
  <c r="B3" i="22"/>
  <c r="B3" i="1"/>
</calcChain>
</file>

<file path=xl/sharedStrings.xml><?xml version="1.0" encoding="utf-8"?>
<sst xmlns="http://schemas.openxmlformats.org/spreadsheetml/2006/main" count="1369" uniqueCount="375">
  <si>
    <t>ファイル名</t>
    <rPh sb="4" eb="5">
      <t>メイ</t>
    </rPh>
    <phoneticPr fontId="2"/>
  </si>
  <si>
    <t>シート名</t>
    <rPh sb="3" eb="4">
      <t>メイ</t>
    </rPh>
    <phoneticPr fontId="2"/>
  </si>
  <si>
    <t>備考</t>
    <rPh sb="0" eb="2">
      <t>ビコウ</t>
    </rPh>
    <phoneticPr fontId="2"/>
  </si>
  <si>
    <t>作成者</t>
    <rPh sb="0" eb="3">
      <t>サクセイシャ</t>
    </rPh>
    <phoneticPr fontId="2"/>
  </si>
  <si>
    <t>テーブル定義</t>
  </si>
  <si>
    <t>表紙</t>
  </si>
  <si>
    <t xml:space="preserve"> </t>
    <phoneticPr fontId="2"/>
  </si>
  <si>
    <t>須賀</t>
    <rPh sb="0" eb="2">
      <t>スガ</t>
    </rPh>
    <phoneticPr fontId="2"/>
  </si>
  <si>
    <t>改訂履歴</t>
    <rPh sb="0" eb="2">
      <t>カイテイ</t>
    </rPh>
    <rPh sb="2" eb="4">
      <t>リレキ</t>
    </rPh>
    <phoneticPr fontId="5"/>
  </si>
  <si>
    <t>版数</t>
    <rPh sb="0" eb="2">
      <t>ハンスウ</t>
    </rPh>
    <phoneticPr fontId="5"/>
  </si>
  <si>
    <t>改訂日</t>
    <rPh sb="0" eb="2">
      <t>カイテイ</t>
    </rPh>
    <phoneticPr fontId="5"/>
  </si>
  <si>
    <t>改訂内容</t>
    <rPh sb="0" eb="2">
      <t>カイテイ</t>
    </rPh>
    <rPh sb="2" eb="4">
      <t>ナイヨウ</t>
    </rPh>
    <phoneticPr fontId="5"/>
  </si>
  <si>
    <t>担当</t>
    <rPh sb="0" eb="2">
      <t>タントウ</t>
    </rPh>
    <phoneticPr fontId="5"/>
  </si>
  <si>
    <t>新規作成</t>
    <rPh sb="0" eb="2">
      <t>シンキ</t>
    </rPh>
    <rPh sb="2" eb="4">
      <t>サクセイ</t>
    </rPh>
    <phoneticPr fontId="5"/>
  </si>
  <si>
    <t>須賀</t>
    <rPh sb="0" eb="2">
      <t>スガ</t>
    </rPh>
    <phoneticPr fontId="5"/>
  </si>
  <si>
    <t>テーブル一覧</t>
  </si>
  <si>
    <t>分類</t>
    <rPh sb="0" eb="2">
      <t>ブンルイ</t>
    </rPh>
    <phoneticPr fontId="2"/>
  </si>
  <si>
    <t>テーブル名</t>
    <rPh sb="4" eb="5">
      <t>メイ</t>
    </rPh>
    <phoneticPr fontId="2"/>
  </si>
  <si>
    <t>テーブル（物理名）</t>
    <rPh sb="5" eb="8">
      <t>ブツリメイ</t>
    </rPh>
    <phoneticPr fontId="2"/>
  </si>
  <si>
    <t>PK</t>
    <phoneticPr fontId="2"/>
  </si>
  <si>
    <t>PF（物理名）</t>
    <rPh sb="3" eb="6">
      <t>ブツリメイ</t>
    </rPh>
    <phoneticPr fontId="2"/>
  </si>
  <si>
    <t>ポータル</t>
    <phoneticPr fontId="2"/>
  </si>
  <si>
    <t>会員</t>
    <rPh sb="0" eb="2">
      <t>カイイン</t>
    </rPh>
    <phoneticPr fontId="2"/>
  </si>
  <si>
    <t>member</t>
    <phoneticPr fontId="2"/>
  </si>
  <si>
    <t>会員ID</t>
    <rPh sb="0" eb="2">
      <t>カイイン</t>
    </rPh>
    <phoneticPr fontId="2"/>
  </si>
  <si>
    <t>member</t>
  </si>
  <si>
    <t>トランザクション</t>
  </si>
  <si>
    <t>共通</t>
  </si>
  <si>
    <t>画面表示制御</t>
  </si>
  <si>
    <t>screen_display_control</t>
  </si>
  <si>
    <t>マスタ</t>
  </si>
  <si>
    <t>デッキ</t>
  </si>
  <si>
    <t>deck</t>
  </si>
  <si>
    <t>デッキID</t>
  </si>
  <si>
    <t>deck_id</t>
  </si>
  <si>
    <t>デッキ詳細</t>
    <rPh sb="3" eb="5">
      <t>ショウサイ</t>
    </rPh>
    <phoneticPr fontId="2"/>
  </si>
  <si>
    <t>deck_detail</t>
  </si>
  <si>
    <t>デッキID,カードID</t>
  </si>
  <si>
    <t>deck_id,card_id</t>
  </si>
  <si>
    <t>デッキレビュー</t>
  </si>
  <si>
    <t>deck_review</t>
  </si>
  <si>
    <t>デッキレビューID</t>
  </si>
  <si>
    <t>deck_review_id</t>
  </si>
  <si>
    <t>カード</t>
  </si>
  <si>
    <t>card</t>
  </si>
  <si>
    <t>カードID</t>
  </si>
  <si>
    <t>card_id</t>
  </si>
  <si>
    <t>カード詳細</t>
  </si>
  <si>
    <t>puroduct</t>
  </si>
  <si>
    <t>カードID,効果ID</t>
  </si>
  <si>
    <t>member_id,effect_id</t>
  </si>
  <si>
    <t>効果</t>
  </si>
  <si>
    <t>効果ID</t>
  </si>
  <si>
    <t>effect_id</t>
  </si>
  <si>
    <t>商品</t>
    <rPh sb="0" eb="2">
      <t>ショウヒン</t>
    </rPh>
    <phoneticPr fontId="2"/>
  </si>
  <si>
    <t>member_id</t>
  </si>
  <si>
    <t>対戦</t>
  </si>
  <si>
    <t>対戦履歴</t>
  </si>
  <si>
    <t>battle_history</t>
  </si>
  <si>
    <t>対戦履歴ID</t>
  </si>
  <si>
    <t>battle_history_id</t>
  </si>
  <si>
    <t>コード</t>
  </si>
  <si>
    <t>code</t>
  </si>
  <si>
    <t>コードID</t>
  </si>
  <si>
    <t>code_id</t>
  </si>
  <si>
    <t>システム名</t>
    <rPh sb="4" eb="5">
      <t>メイ</t>
    </rPh>
    <phoneticPr fontId="5"/>
  </si>
  <si>
    <t>テーブル名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</si>
  <si>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</si>
  <si>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</si>
  <si>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2021/8/8</t>
    <phoneticPr fontId="2"/>
  </si>
  <si>
    <t>分類</t>
    <rPh sb="0" eb="2">
      <t>ブンルイ</t>
    </rPh>
    <phoneticPr fontId="5"/>
  </si>
  <si>
    <t>物理名</t>
    <phoneticPr fontId="5"/>
  </si>
  <si>
    <t>更新者</t>
    <rPh sb="0" eb="3">
      <t>コウシンシャ</t>
    </rPh>
    <phoneticPr fontId="5"/>
  </si>
  <si>
    <t>-</t>
    <phoneticPr fontId="5"/>
  </si>
  <si>
    <t>更新日</t>
    <rPh sb="0" eb="3">
      <t>コウシンビ</t>
    </rPh>
    <phoneticPr fontId="5"/>
  </si>
  <si>
    <t>-</t>
    <phoneticPr fontId="2"/>
  </si>
  <si>
    <t>項番</t>
    <rPh sb="0" eb="2">
      <t>コウバン</t>
    </rPh>
    <phoneticPr fontId="5"/>
  </si>
  <si>
    <t>カラム名</t>
    <rPh sb="3" eb="4">
      <t>メイ</t>
    </rPh>
    <phoneticPr fontId="5"/>
  </si>
  <si>
    <t>項目名</t>
    <rPh sb="0" eb="2">
      <t>コウモク</t>
    </rPh>
    <rPh sb="2" eb="3">
      <t>メイ</t>
    </rPh>
    <phoneticPr fontId="5"/>
  </si>
  <si>
    <t>項目概要</t>
    <rPh sb="0" eb="2">
      <t>コウモク</t>
    </rPh>
    <rPh sb="2" eb="4">
      <t>ガイヨウ</t>
    </rPh>
    <phoneticPr fontId="5"/>
  </si>
  <si>
    <t>PKの有無</t>
    <rPh sb="3" eb="5">
      <t>ウム</t>
    </rPh>
    <phoneticPr fontId="5"/>
  </si>
  <si>
    <t>FKの有無</t>
  </si>
  <si>
    <t>参照先テーブル</t>
  </si>
  <si>
    <t>参照先カラム</t>
  </si>
  <si>
    <t>UKの有無</t>
    <rPh sb="3" eb="5">
      <t>ウム</t>
    </rPh>
    <phoneticPr fontId="5"/>
  </si>
  <si>
    <t>データ型</t>
    <rPh sb="3" eb="4">
      <t>ガタ</t>
    </rPh>
    <phoneticPr fontId="5"/>
  </si>
  <si>
    <t>バイト</t>
    <phoneticPr fontId="5"/>
  </si>
  <si>
    <t>NotNullの有無</t>
    <rPh sb="8" eb="10">
      <t>ウム</t>
    </rPh>
    <phoneticPr fontId="5"/>
  </si>
  <si>
    <t>デフォルト</t>
    <phoneticPr fontId="5"/>
  </si>
  <si>
    <t>例</t>
    <rPh sb="0" eb="1">
      <t>レイ</t>
    </rPh>
    <phoneticPr fontId="5"/>
  </si>
  <si>
    <t>備考</t>
    <rPh sb="0" eb="2">
      <t>ビコウ</t>
    </rPh>
    <phoneticPr fontId="5"/>
  </si>
  <si>
    <t>screen_id</t>
  </si>
  <si>
    <t>画面ID</t>
  </si>
  <si>
    <t>●</t>
    <phoneticPr fontId="5"/>
  </si>
  <si>
    <t>VARCHAR</t>
    <phoneticPr fontId="2"/>
  </si>
  <si>
    <t>login_flag</t>
  </si>
  <si>
    <t>ログインフラグ</t>
  </si>
  <si>
    <t>ログイン
ゲスト</t>
  </si>
  <si>
    <t>ゆーと</t>
    <phoneticPr fontId="2"/>
  </si>
  <si>
    <t>account_status</t>
  </si>
  <si>
    <t>アカウントステータス</t>
  </si>
  <si>
    <t>1.登録済み
2.アカウント紐づけ済み
99.削除・退会済み</t>
  </si>
  <si>
    <t>画面表示フラグ</t>
  </si>
  <si>
    <t>0.非表示
1.表示</t>
  </si>
  <si>
    <t>ボタン表示フラグ</t>
  </si>
  <si>
    <t>created_at</t>
    <phoneticPr fontId="2"/>
  </si>
  <si>
    <t>登録日時</t>
    <phoneticPr fontId="2"/>
  </si>
  <si>
    <t>YYYYMMDDhhmmss</t>
  </si>
  <si>
    <t>DATA</t>
    <phoneticPr fontId="5"/>
  </si>
  <si>
    <t>14</t>
  </si>
  <si>
    <t>insert日付</t>
    <rPh sb="6" eb="8">
      <t>ヒヅケ</t>
    </rPh>
    <phoneticPr fontId="2"/>
  </si>
  <si>
    <t>登録者</t>
  </si>
  <si>
    <t>updated_at</t>
    <phoneticPr fontId="2"/>
  </si>
  <si>
    <t>更新日時</t>
    <phoneticPr fontId="2"/>
  </si>
  <si>
    <t>登録日付 or 更新日付</t>
    <rPh sb="0" eb="2">
      <t>トウロク</t>
    </rPh>
    <rPh sb="2" eb="4">
      <t>ヒヅケ</t>
    </rPh>
    <rPh sb="8" eb="10">
      <t>コウシン</t>
    </rPh>
    <rPh sb="10" eb="12">
      <t>ヒヅケ</t>
    </rPh>
    <phoneticPr fontId="2"/>
  </si>
  <si>
    <t>更新者</t>
  </si>
  <si>
    <t>登録者 or 更新者</t>
  </si>
  <si>
    <t>version_no</t>
  </si>
  <si>
    <t>バージョン番号</t>
  </si>
  <si>
    <t>int</t>
  </si>
  <si>
    <t>1</t>
  </si>
  <si>
    <t>会員</t>
    <rPh sb="0" eb="2">
      <t>カイイン</t>
    </rPh>
    <phoneticPr fontId="5"/>
  </si>
  <si>
    <t>ポータル</t>
    <phoneticPr fontId="5"/>
  </si>
  <si>
    <t>menbers</t>
    <phoneticPr fontId="5"/>
  </si>
  <si>
    <t>menbers_id</t>
  </si>
  <si>
    <t>会員ID</t>
    <rPh sb="0" eb="2">
      <t>カイイン</t>
    </rPh>
    <phoneticPr fontId="5"/>
  </si>
  <si>
    <t>自動採番</t>
    <rPh sb="0" eb="2">
      <t>ジドウ</t>
    </rPh>
    <rPh sb="2" eb="4">
      <t>サイバン</t>
    </rPh>
    <phoneticPr fontId="2"/>
  </si>
  <si>
    <t>login_id</t>
  </si>
  <si>
    <t>ログインID</t>
  </si>
  <si>
    <t>ログイン用ID</t>
  </si>
  <si>
    <t>menbers_name</t>
  </si>
  <si>
    <t>会員名</t>
    <rPh sb="0" eb="2">
      <t>カイイン</t>
    </rPh>
    <rPh sb="2" eb="3">
      <t>メイ</t>
    </rPh>
    <phoneticPr fontId="5"/>
  </si>
  <si>
    <t>会員名</t>
  </si>
  <si>
    <t>birthdate</t>
  </si>
  <si>
    <t>生年月日</t>
    <rPh sb="0" eb="4">
      <t>セイネンガッピ</t>
    </rPh>
    <phoneticPr fontId="5"/>
  </si>
  <si>
    <t>YYYYMMDD</t>
  </si>
  <si>
    <t>8</t>
  </si>
  <si>
    <t>NULL</t>
    <phoneticPr fontId="5"/>
  </si>
  <si>
    <t>1998-01-14</t>
    <phoneticPr fontId="2"/>
  </si>
  <si>
    <t>2</t>
  </si>
  <si>
    <t>アカウント登録時　１
メールアドレスもしくは、SNS紐づけ時　2
アカウント削除時　3</t>
  </si>
  <si>
    <t>email_address</t>
  </si>
  <si>
    <t>メールアドレス</t>
  </si>
  <si>
    <t>256</t>
  </si>
  <si>
    <t>NULL</t>
  </si>
  <si>
    <t>password</t>
    <phoneticPr fontId="2"/>
  </si>
  <si>
    <t>パスワード</t>
    <phoneticPr fontId="2"/>
  </si>
  <si>
    <t>suga0114</t>
    <phoneticPr fontId="2"/>
  </si>
  <si>
    <t>英語数字含む8桁以上</t>
    <rPh sb="7" eb="8">
      <t>ケタ</t>
    </rPh>
    <rPh sb="8" eb="10">
      <t>イジョウ</t>
    </rPh>
    <phoneticPr fontId="2"/>
  </si>
  <si>
    <t>login_history</t>
    <phoneticPr fontId="2"/>
  </si>
  <si>
    <t>ログイン履歴</t>
    <rPh sb="4" eb="6">
      <t>リレキ</t>
    </rPh>
    <phoneticPr fontId="2"/>
  </si>
  <si>
    <t>YYYY-MM-DD hh:mm:ss</t>
    <phoneticPr fontId="2"/>
  </si>
  <si>
    <t>19</t>
    <phoneticPr fontId="2"/>
  </si>
  <si>
    <t>=</t>
  </si>
  <si>
    <t>password_update_at</t>
    <phoneticPr fontId="2"/>
  </si>
  <si>
    <t>パスワード変更日時</t>
    <rPh sb="5" eb="7">
      <t>ヘンコウ</t>
    </rPh>
    <rPh sb="7" eb="9">
      <t>ニチジ</t>
    </rPh>
    <phoneticPr fontId="2"/>
  </si>
  <si>
    <t>登録日</t>
    <rPh sb="0" eb="3">
      <t>トウロクビ</t>
    </rPh>
    <phoneticPr fontId="2"/>
  </si>
  <si>
    <t>password_initializing_flag</t>
  </si>
  <si>
    <t>パスワード初期化フラグ</t>
  </si>
  <si>
    <t>0.パスワード未初期化
1.パスワード初期化済み</t>
  </si>
  <si>
    <t>0</t>
  </si>
  <si>
    <t>チャット履歴</t>
  </si>
  <si>
    <t>chat_history</t>
  </si>
  <si>
    <t>ルームID</t>
  </si>
  <si>
    <t>チャットID</t>
  </si>
  <si>
    <t>送信ユーザーID</t>
  </si>
  <si>
    <t>宛先ユーザーID</t>
  </si>
  <si>
    <t>メッセージ</t>
  </si>
  <si>
    <t>フレンド</t>
  </si>
  <si>
    <t>friend</t>
  </si>
  <si>
    <t>ユーザーID</t>
  </si>
  <si>
    <t>チャット情報</t>
  </si>
  <si>
    <t>chat_info</t>
  </si>
  <si>
    <t>「データイメージ」</t>
  </si>
  <si>
    <t>★デッキ</t>
    <phoneticPr fontId="2"/>
  </si>
  <si>
    <t>デッキID</t>
    <phoneticPr fontId="2"/>
  </si>
  <si>
    <t>デッキ名</t>
    <rPh sb="3" eb="4">
      <t>メイ</t>
    </rPh>
    <phoneticPr fontId="2"/>
  </si>
  <si>
    <t>更新日</t>
    <rPh sb="0" eb="2">
      <t>コウシン</t>
    </rPh>
    <rPh sb="2" eb="3">
      <t>ビ</t>
    </rPh>
    <phoneticPr fontId="2"/>
  </si>
  <si>
    <t>D00001</t>
    <phoneticPr fontId="2"/>
  </si>
  <si>
    <t>なでこデッキ</t>
    <phoneticPr fontId="2"/>
  </si>
  <si>
    <t>M000001</t>
    <phoneticPr fontId="2"/>
  </si>
  <si>
    <t>★デッキ詳細</t>
    <rPh sb="4" eb="6">
      <t>ショウサイ</t>
    </rPh>
    <phoneticPr fontId="2"/>
  </si>
  <si>
    <t>枚数</t>
    <rPh sb="0" eb="2">
      <t>マイスウ</t>
    </rPh>
    <phoneticPr fontId="2"/>
  </si>
  <si>
    <t>C00001</t>
    <phoneticPr fontId="2"/>
  </si>
  <si>
    <t>★会員</t>
    <rPh sb="1" eb="3">
      <t>カイイン</t>
    </rPh>
    <phoneticPr fontId="2"/>
  </si>
  <si>
    <t>メンバーID</t>
    <phoneticPr fontId="2"/>
  </si>
  <si>
    <t>メンバー名</t>
    <rPh sb="4" eb="5">
      <t>メイ</t>
    </rPh>
    <phoneticPr fontId="2"/>
  </si>
  <si>
    <t>★カード</t>
    <phoneticPr fontId="2"/>
  </si>
  <si>
    <t>カードID</t>
    <phoneticPr fontId="2"/>
  </si>
  <si>
    <t>カード名</t>
    <rPh sb="3" eb="4">
      <t>メイ</t>
    </rPh>
    <phoneticPr fontId="2"/>
  </si>
  <si>
    <t>商品ID</t>
    <rPh sb="0" eb="2">
      <t>ショウヒン</t>
    </rPh>
    <phoneticPr fontId="2"/>
  </si>
  <si>
    <t>C000001</t>
    <phoneticPr fontId="2"/>
  </si>
  <si>
    <t>なでこ</t>
    <phoneticPr fontId="2"/>
  </si>
  <si>
    <t>P000001</t>
    <phoneticPr fontId="2"/>
  </si>
  <si>
    <t>★商品</t>
    <rPh sb="1" eb="3">
      <t>ショウヒン</t>
    </rPh>
    <phoneticPr fontId="2"/>
  </si>
  <si>
    <t>商品名</t>
    <rPh sb="0" eb="2">
      <t>ショウヒン</t>
    </rPh>
    <rPh sb="2" eb="3">
      <t>メイ</t>
    </rPh>
    <phoneticPr fontId="2"/>
  </si>
  <si>
    <t>物語セカンドステージエディション</t>
    <rPh sb="0" eb="2">
      <t>モノガタリ</t>
    </rPh>
    <phoneticPr fontId="2"/>
  </si>
  <si>
    <t>★カード詳細</t>
    <rPh sb="4" eb="6">
      <t>ショウサイ</t>
    </rPh>
    <phoneticPr fontId="2"/>
  </si>
  <si>
    <t>置き換え文字リスト</t>
    <rPh sb="0" eb="1">
      <t>オ</t>
    </rPh>
    <rPh sb="2" eb="3">
      <t>カ</t>
    </rPh>
    <rPh sb="4" eb="6">
      <t>モジ</t>
    </rPh>
    <phoneticPr fontId="2"/>
  </si>
  <si>
    <t>E000001</t>
  </si>
  <si>
    <t>★効果</t>
  </si>
  <si>
    <t>テキスト名</t>
    <rPh sb="4" eb="5">
      <t>メイ</t>
    </rPh>
    <phoneticPr fontId="2"/>
  </si>
  <si>
    <t>キーワード</t>
    <phoneticPr fontId="2"/>
  </si>
  <si>
    <t>CXコンボ</t>
    <phoneticPr fontId="2"/>
  </si>
  <si>
    <t>発動タイプ(永続・起動・自動)</t>
    <rPh sb="0" eb="2">
      <t>ハツドウ</t>
    </rPh>
    <rPh sb="6" eb="8">
      <t>エイゾク</t>
    </rPh>
    <rPh sb="9" eb="11">
      <t>キドウ</t>
    </rPh>
    <rPh sb="12" eb="14">
      <t>ジドウ</t>
    </rPh>
    <phoneticPr fontId="2"/>
  </si>
  <si>
    <t>発動フェーズ</t>
    <rPh sb="0" eb="2">
      <t>ハツドウ</t>
    </rPh>
    <phoneticPr fontId="2"/>
  </si>
  <si>
    <t>発動条件その他</t>
    <rPh sb="0" eb="2">
      <t>ハツドウ</t>
    </rPh>
    <rPh sb="2" eb="4">
      <t>ジョウケン</t>
    </rPh>
    <rPh sb="6" eb="7">
      <t>タ</t>
    </rPh>
    <phoneticPr fontId="2"/>
  </si>
  <si>
    <t>発動コスト</t>
    <rPh sb="0" eb="2">
      <t>ハツドウ</t>
    </rPh>
    <phoneticPr fontId="2"/>
  </si>
  <si>
    <t>チェックタイミング（優先度）</t>
    <rPh sb="10" eb="13">
      <t>ユウセンド</t>
    </rPh>
    <phoneticPr fontId="2"/>
  </si>
  <si>
    <t>データモデル</t>
    <phoneticPr fontId="2"/>
  </si>
  <si>
    <t>Deck</t>
    <phoneticPr fontId="2"/>
  </si>
  <si>
    <t>データモデル(準備)</t>
    <rPh sb="7" eb="9">
      <t>ジュンビ</t>
    </rPh>
    <phoneticPr fontId="2"/>
  </si>
  <si>
    <t>★ポータル</t>
    <phoneticPr fontId="2"/>
  </si>
  <si>
    <t>★会員ID</t>
    <rPh sb="1" eb="3">
      <t>カイイン</t>
    </rPh>
    <phoneticPr fontId="2"/>
  </si>
  <si>
    <t>最終ログイン</t>
    <rPh sb="0" eb="2">
      <t>サイシュウ</t>
    </rPh>
    <phoneticPr fontId="2"/>
  </si>
  <si>
    <t>デッキ概要</t>
    <rPh sb="3" eb="5">
      <t>ガイヨウ</t>
    </rPh>
    <phoneticPr fontId="2"/>
  </si>
  <si>
    <t>レビュー</t>
    <phoneticPr fontId="2"/>
  </si>
  <si>
    <t>★デッキID</t>
    <phoneticPr fontId="2"/>
  </si>
  <si>
    <t>作成者(会員ID)</t>
    <rPh sb="0" eb="3">
      <t>サクセイシャ</t>
    </rPh>
    <phoneticPr fontId="2"/>
  </si>
  <si>
    <t>★カードID</t>
    <phoneticPr fontId="2"/>
  </si>
  <si>
    <t>カード概要</t>
    <rPh sb="3" eb="5">
      <t>ガイヨウ</t>
    </rPh>
    <phoneticPr fontId="2"/>
  </si>
  <si>
    <t>カード効果紐づけ</t>
    <rPh sb="3" eb="5">
      <t>コウカ</t>
    </rPh>
    <rPh sb="5" eb="6">
      <t>ヒモ</t>
    </rPh>
    <phoneticPr fontId="2"/>
  </si>
  <si>
    <t>効果</t>
    <rPh sb="0" eb="2">
      <t>コウカ</t>
    </rPh>
    <phoneticPr fontId="2"/>
  </si>
  <si>
    <t>現在カード</t>
    <rPh sb="0" eb="2">
      <t>ゲンザイ</t>
    </rPh>
    <phoneticPr fontId="2"/>
  </si>
  <si>
    <t>★効果ID</t>
    <rPh sb="1" eb="3">
      <t>コウカ</t>
    </rPh>
    <phoneticPr fontId="2"/>
  </si>
  <si>
    <t>★カードNO</t>
    <phoneticPr fontId="2"/>
  </si>
  <si>
    <t>テキスト</t>
    <phoneticPr fontId="2"/>
  </si>
  <si>
    <t>色コード</t>
    <rPh sb="0" eb="1">
      <t>イロ</t>
    </rPh>
    <phoneticPr fontId="2"/>
  </si>
  <si>
    <t>置き換え１</t>
    <rPh sb="0" eb="1">
      <t>オ</t>
    </rPh>
    <rPh sb="2" eb="3">
      <t>カ</t>
    </rPh>
    <phoneticPr fontId="2"/>
  </si>
  <si>
    <t>場所</t>
    <rPh sb="0" eb="2">
      <t>バショ</t>
    </rPh>
    <phoneticPr fontId="2"/>
  </si>
  <si>
    <t>レベル</t>
    <phoneticPr fontId="2"/>
  </si>
  <si>
    <t>起動・自動・永続</t>
    <rPh sb="0" eb="2">
      <t>キドウ</t>
    </rPh>
    <rPh sb="3" eb="5">
      <t>ジドウ</t>
    </rPh>
    <rPh sb="6" eb="8">
      <t>エイゾク</t>
    </rPh>
    <phoneticPr fontId="2"/>
  </si>
  <si>
    <t>元パワー</t>
    <rPh sb="0" eb="1">
      <t>モト</t>
    </rPh>
    <phoneticPr fontId="2"/>
  </si>
  <si>
    <t>コード</t>
    <phoneticPr fontId="2"/>
  </si>
  <si>
    <t>ネーム効果</t>
    <rPh sb="3" eb="5">
      <t>コウカ</t>
    </rPh>
    <phoneticPr fontId="2"/>
  </si>
  <si>
    <t>変異後パワー</t>
    <rPh sb="0" eb="3">
      <t>ヘンイゴ</t>
    </rPh>
    <phoneticPr fontId="2"/>
  </si>
  <si>
    <t>発動可能フェーズ</t>
    <rPh sb="0" eb="2">
      <t>ハツドウ</t>
    </rPh>
    <rPh sb="2" eb="4">
      <t>カノウ</t>
    </rPh>
    <phoneticPr fontId="2"/>
  </si>
  <si>
    <t>発動可能条件</t>
    <rPh sb="0" eb="2">
      <t>ハツドウ</t>
    </rPh>
    <rPh sb="2" eb="4">
      <t>カノウ</t>
    </rPh>
    <rPh sb="4" eb="6">
      <t>ジョウケン</t>
    </rPh>
    <phoneticPr fontId="2"/>
  </si>
  <si>
    <t>★カードサブ</t>
    <phoneticPr fontId="2"/>
  </si>
  <si>
    <t>色</t>
    <rPh sb="0" eb="1">
      <t>イロ</t>
    </rPh>
    <phoneticPr fontId="2"/>
  </si>
  <si>
    <t>特徴</t>
    <rPh sb="0" eb="2">
      <t>トクチョウ</t>
    </rPh>
    <phoneticPr fontId="2"/>
  </si>
  <si>
    <t>トリガー</t>
    <phoneticPr fontId="2"/>
  </si>
  <si>
    <t>★色ID</t>
    <rPh sb="1" eb="2">
      <t>イロ</t>
    </rPh>
    <phoneticPr fontId="2"/>
  </si>
  <si>
    <t>★特徴ID</t>
    <rPh sb="1" eb="3">
      <t>トクチョウ</t>
    </rPh>
    <phoneticPr fontId="2"/>
  </si>
  <si>
    <t>★トリガーID</t>
    <phoneticPr fontId="2"/>
  </si>
  <si>
    <t>色名</t>
    <rPh sb="0" eb="1">
      <t>イロ</t>
    </rPh>
    <rPh sb="1" eb="2">
      <t>メイ</t>
    </rPh>
    <phoneticPr fontId="2"/>
  </si>
  <si>
    <t>特徴名</t>
    <rPh sb="0" eb="2">
      <t>トクチョウ</t>
    </rPh>
    <rPh sb="2" eb="3">
      <t>メイ</t>
    </rPh>
    <phoneticPr fontId="2"/>
  </si>
  <si>
    <t>トリガー名</t>
    <rPh sb="4" eb="5">
      <t>メイ</t>
    </rPh>
    <phoneticPr fontId="2"/>
  </si>
  <si>
    <t>★対戦用</t>
    <rPh sb="1" eb="3">
      <t>タイセン</t>
    </rPh>
    <rPh sb="3" eb="4">
      <t>ヨウ</t>
    </rPh>
    <phoneticPr fontId="2"/>
  </si>
  <si>
    <t>対戦履歴</t>
    <rPh sb="0" eb="2">
      <t>タイセン</t>
    </rPh>
    <rPh sb="2" eb="4">
      <t>リレキ</t>
    </rPh>
    <phoneticPr fontId="2"/>
  </si>
  <si>
    <t>★対戦ID</t>
    <rPh sb="1" eb="3">
      <t>タイセン</t>
    </rPh>
    <phoneticPr fontId="2"/>
  </si>
  <si>
    <t>★ルームID</t>
    <phoneticPr fontId="2"/>
  </si>
  <si>
    <t>勝者ID</t>
    <rPh sb="0" eb="2">
      <t>ショウシャ</t>
    </rPh>
    <phoneticPr fontId="2"/>
  </si>
  <si>
    <t>敗者ID</t>
    <rPh sb="0" eb="2">
      <t>ハイシャ</t>
    </rPh>
    <phoneticPr fontId="2"/>
  </si>
  <si>
    <t>勝者デッキID</t>
    <rPh sb="0" eb="2">
      <t>ショウシャ</t>
    </rPh>
    <phoneticPr fontId="2"/>
  </si>
  <si>
    <t>敗者デッキID</t>
    <rPh sb="0" eb="2">
      <t>ハイシャ</t>
    </rPh>
    <phoneticPr fontId="2"/>
  </si>
  <si>
    <t>残りヒットポイント</t>
    <rPh sb="0" eb="1">
      <t>ノコ</t>
    </rPh>
    <phoneticPr fontId="2"/>
  </si>
  <si>
    <t>対戦ルール</t>
    <rPh sb="0" eb="2">
      <t>タイセン</t>
    </rPh>
    <phoneticPr fontId="2"/>
  </si>
  <si>
    <t>対戦終了経緯</t>
    <rPh sb="0" eb="2">
      <t>タイセン</t>
    </rPh>
    <rPh sb="2" eb="4">
      <t>シュウリョウ</t>
    </rPh>
    <rPh sb="4" eb="6">
      <t>ケイイ</t>
    </rPh>
    <phoneticPr fontId="2"/>
  </si>
  <si>
    <t>id</t>
    <phoneticPr fontId="2"/>
  </si>
  <si>
    <t>name</t>
    <phoneticPr fontId="2"/>
  </si>
  <si>
    <t>任意の名前</t>
    <rPh sb="0" eb="2">
      <t>ニンイ</t>
    </rPh>
    <rPh sb="3" eb="5">
      <t>ナマエ</t>
    </rPh>
    <phoneticPr fontId="2"/>
  </si>
  <si>
    <t>birthdate</t>
    <phoneticPr fontId="2"/>
  </si>
  <si>
    <t>YYYY-MM-DD</t>
    <phoneticPr fontId="2"/>
  </si>
  <si>
    <t>デッキ</t>
    <phoneticPr fontId="5"/>
  </si>
  <si>
    <t>decks</t>
    <phoneticPr fontId="2"/>
  </si>
  <si>
    <t>デッキID</t>
    <phoneticPr fontId="5"/>
  </si>
  <si>
    <t>デッキ名</t>
    <rPh sb="3" eb="4">
      <t>メイ</t>
    </rPh>
    <phoneticPr fontId="5"/>
  </si>
  <si>
    <t>しよ子デッキ</t>
    <rPh sb="2" eb="3">
      <t>コ</t>
    </rPh>
    <phoneticPr fontId="2"/>
  </si>
  <si>
    <t>menbers_id</t>
    <phoneticPr fontId="2"/>
  </si>
  <si>
    <t>作成者ID</t>
    <rPh sb="0" eb="3">
      <t>サクセイシャ</t>
    </rPh>
    <phoneticPr fontId="5"/>
  </si>
  <si>
    <t>デッキ詳細</t>
    <rPh sb="3" eb="5">
      <t>ショウサイ</t>
    </rPh>
    <phoneticPr fontId="5"/>
  </si>
  <si>
    <t>deck_detail</t>
    <phoneticPr fontId="2"/>
  </si>
  <si>
    <t>decks_id</t>
    <phoneticPr fontId="2"/>
  </si>
  <si>
    <t>カード</t>
    <phoneticPr fontId="5"/>
  </si>
  <si>
    <t>cards</t>
    <phoneticPr fontId="2"/>
  </si>
  <si>
    <t>カードID</t>
    <phoneticPr fontId="5"/>
  </si>
  <si>
    <t>自動採番　システムで一意にするための番号</t>
    <rPh sb="0" eb="2">
      <t>ジドウ</t>
    </rPh>
    <rPh sb="2" eb="4">
      <t>サイバン</t>
    </rPh>
    <rPh sb="10" eb="12">
      <t>イチイ</t>
    </rPh>
    <rPh sb="18" eb="20">
      <t>バンゴウ</t>
    </rPh>
    <phoneticPr fontId="2"/>
  </si>
  <si>
    <t>作品番号</t>
    <phoneticPr fontId="2"/>
  </si>
  <si>
    <t>DBG</t>
    <phoneticPr fontId="2"/>
  </si>
  <si>
    <t>サイド</t>
    <phoneticPr fontId="2"/>
  </si>
  <si>
    <t>W</t>
    <phoneticPr fontId="2"/>
  </si>
  <si>
    <t>card_no</t>
    <phoneticPr fontId="2"/>
  </si>
  <si>
    <t>カード番号</t>
    <rPh sb="3" eb="5">
      <t>バンゴウ</t>
    </rPh>
    <phoneticPr fontId="2"/>
  </si>
  <si>
    <t>W87-103</t>
    <phoneticPr fontId="2"/>
  </si>
  <si>
    <t>ネオスタンダード区分</t>
    <rPh sb="8" eb="10">
      <t>クブン</t>
    </rPh>
    <phoneticPr fontId="5"/>
  </si>
  <si>
    <t>神様になった日</t>
    <phoneticPr fontId="2"/>
  </si>
  <si>
    <t>PRカード【Wサイド】</t>
    <phoneticPr fontId="2"/>
  </si>
  <si>
    <t>人類の選択 ひな</t>
    <phoneticPr fontId="2"/>
  </si>
  <si>
    <t>カード名　フリガナ</t>
    <rPh sb="3" eb="4">
      <t>メイ</t>
    </rPh>
    <phoneticPr fontId="2"/>
  </si>
  <si>
    <t>ジンルイノセンタク ヒナ</t>
    <phoneticPr fontId="2"/>
  </si>
  <si>
    <t>Character</t>
    <phoneticPr fontId="2"/>
  </si>
  <si>
    <t>キャラクター名</t>
    <rPh sb="6" eb="7">
      <t>メイ</t>
    </rPh>
    <phoneticPr fontId="2"/>
  </si>
  <si>
    <t>ひな</t>
    <phoneticPr fontId="2"/>
  </si>
  <si>
    <t>レアリティ</t>
    <phoneticPr fontId="2"/>
  </si>
  <si>
    <t>RR</t>
    <phoneticPr fontId="2"/>
  </si>
  <si>
    <t>種類</t>
    <rPh sb="0" eb="2">
      <t>シュルイ</t>
    </rPh>
    <phoneticPr fontId="2"/>
  </si>
  <si>
    <t>キャラ</t>
    <phoneticPr fontId="2"/>
  </si>
  <si>
    <t>0</t>
    <phoneticPr fontId="2"/>
  </si>
  <si>
    <t>パワー</t>
    <phoneticPr fontId="2"/>
  </si>
  <si>
    <t>500</t>
    <phoneticPr fontId="2"/>
  </si>
  <si>
    <t>なし</t>
    <phoneticPr fontId="2"/>
  </si>
  <si>
    <t>赤</t>
    <rPh sb="0" eb="1">
      <t>アカ</t>
    </rPh>
    <phoneticPr fontId="2"/>
  </si>
  <si>
    <t>コスト</t>
    <phoneticPr fontId="2"/>
  </si>
  <si>
    <t>ソウル</t>
    <phoneticPr fontId="2"/>
  </si>
  <si>
    <t>1</t>
    <phoneticPr fontId="2"/>
  </si>
  <si>
    <t>特徴1</t>
    <rPh sb="0" eb="2">
      <t>トクチョウ</t>
    </rPh>
    <phoneticPr fontId="2"/>
  </si>
  <si>
    <t>夏</t>
    <rPh sb="0" eb="1">
      <t>ナツ</t>
    </rPh>
    <phoneticPr fontId="2"/>
  </si>
  <si>
    <t>特徴2</t>
    <rPh sb="0" eb="2">
      <t>トクチョウ</t>
    </rPh>
    <phoneticPr fontId="2"/>
  </si>
  <si>
    <t>神</t>
    <rPh sb="0" eb="1">
      <t>カミ</t>
    </rPh>
    <phoneticPr fontId="2"/>
  </si>
  <si>
    <t>特徴3</t>
    <rPh sb="0" eb="2">
      <t>トクチョウ</t>
    </rPh>
    <phoneticPr fontId="2"/>
  </si>
  <si>
    <t>フレーバー</t>
    <phoneticPr fontId="2"/>
  </si>
  <si>
    <t>それが人類の選択なのじゃよ</t>
    <phoneticPr fontId="2"/>
  </si>
  <si>
    <t>image_type</t>
  </si>
  <si>
    <t>画像タイプ</t>
  </si>
  <si>
    <t>1:URL参照型　2:画像データ参照型</t>
  </si>
  <si>
    <t>image_url</t>
  </si>
  <si>
    <t>画像URL</t>
  </si>
  <si>
    <t>250</t>
  </si>
  <si>
    <t>image_data</t>
  </si>
  <si>
    <t>画像データ</t>
  </si>
  <si>
    <t>バイナリ</t>
  </si>
  <si>
    <t>カード詳細</t>
    <rPh sb="3" eb="5">
      <t>ショウサイ</t>
    </rPh>
    <phoneticPr fontId="5"/>
  </si>
  <si>
    <t>cards_detail</t>
    <phoneticPr fontId="2"/>
  </si>
  <si>
    <t>cards_id</t>
    <phoneticPr fontId="2"/>
  </si>
  <si>
    <t>effects_id</t>
    <phoneticPr fontId="2"/>
  </si>
  <si>
    <t>効果ID</t>
    <rPh sb="0" eb="2">
      <t>コウカ</t>
    </rPh>
    <phoneticPr fontId="5"/>
  </si>
  <si>
    <t>効果テンプレート元のID</t>
    <rPh sb="0" eb="2">
      <t>コウカ</t>
    </rPh>
    <rPh sb="8" eb="9">
      <t>モト</t>
    </rPh>
    <phoneticPr fontId="2"/>
  </si>
  <si>
    <t>置き換え文字1</t>
    <rPh sb="0" eb="1">
      <t>オ</t>
    </rPh>
    <rPh sb="2" eb="3">
      <t>カ</t>
    </rPh>
    <rPh sb="4" eb="6">
      <t>モジ</t>
    </rPh>
    <phoneticPr fontId="2"/>
  </si>
  <si>
    <t>テンプレートに対する置き換え文字</t>
    <rPh sb="7" eb="8">
      <t>タイ</t>
    </rPh>
    <rPh sb="10" eb="11">
      <t>オ</t>
    </rPh>
    <rPh sb="12" eb="13">
      <t>カ</t>
    </rPh>
    <rPh sb="14" eb="16">
      <t>モジ</t>
    </rPh>
    <phoneticPr fontId="2"/>
  </si>
  <si>
    <t>効果</t>
    <rPh sb="0" eb="2">
      <t>コウカ</t>
    </rPh>
    <phoneticPr fontId="5"/>
  </si>
  <si>
    <t>effects</t>
    <phoneticPr fontId="2"/>
  </si>
  <si>
    <t>自動/起動/永続</t>
    <rPh sb="0" eb="2">
      <t>ジドウ</t>
    </rPh>
    <rPh sb="3" eb="5">
      <t>キドウ</t>
    </rPh>
    <rPh sb="6" eb="8">
      <t>エイゾク</t>
    </rPh>
    <phoneticPr fontId="2"/>
  </si>
  <si>
    <t>自</t>
    <rPh sb="0" eb="1">
      <t>ジ</t>
    </rPh>
    <phoneticPr fontId="2"/>
  </si>
  <si>
    <t>「集中」「アラーム」等</t>
    <rPh sb="1" eb="3">
      <t>シュウチュウ</t>
    </rPh>
    <rPh sb="10" eb="11">
      <t>ナド</t>
    </rPh>
    <phoneticPr fontId="2"/>
  </si>
  <si>
    <t>集中</t>
    <rPh sb="0" eb="2">
      <t>シュウチュウ</t>
    </rPh>
    <phoneticPr fontId="2"/>
  </si>
  <si>
    <t>発動フェイズ</t>
    <rPh sb="0" eb="2">
      <t>ハツドウ</t>
    </rPh>
    <phoneticPr fontId="2"/>
  </si>
  <si>
    <t>自ターン/メインフェイズ</t>
    <rPh sb="0" eb="1">
      <t>ジ</t>
    </rPh>
    <phoneticPr fontId="2"/>
  </si>
  <si>
    <t>発動条件</t>
    <rPh sb="0" eb="2">
      <t>ハツドウ</t>
    </rPh>
    <rPh sb="2" eb="4">
      <t>ジョウケン</t>
    </rPh>
    <phoneticPr fontId="2"/>
  </si>
  <si>
    <t>このカードが手札から舞台に置かれた時</t>
    <phoneticPr fontId="2"/>
  </si>
  <si>
    <t>［(1) 手札を1枚控え室に置く］</t>
    <phoneticPr fontId="2"/>
  </si>
  <si>
    <t>フェイズ管理</t>
  </si>
  <si>
    <t>phase_management</t>
  </si>
  <si>
    <t>battle_histories</t>
  </si>
  <si>
    <t>フレンドID</t>
  </si>
  <si>
    <t>●</t>
  </si>
  <si>
    <t>作成日</t>
    <rPh sb="0" eb="2">
      <t>サクセイ</t>
    </rPh>
    <rPh sb="2" eb="3">
      <t>ビ</t>
    </rPh>
    <phoneticPr fontId="2"/>
  </si>
  <si>
    <t>2021/10/24</t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</si>
  <si>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</si>
  <si>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ビ</t>
    </rPh>
    <phoneticPr fontId="2"/>
  </si>
  <si>
    <t>created_user</t>
    <phoneticPr fontId="2"/>
  </si>
  <si>
    <t>update_user</t>
    <phoneticPr fontId="2"/>
  </si>
  <si>
    <t>バージョン管理番号
update時に+1でインクリメントする項目</t>
    <rPh sb="16" eb="17">
      <t>ジ</t>
    </rPh>
    <rPh sb="30" eb="32">
      <t>コウモク</t>
    </rPh>
    <phoneticPr fontId="2"/>
  </si>
  <si>
    <t>登録したUserもしくは、システムのIDが入る</t>
    <rPh sb="0" eb="2">
      <t>トウロク</t>
    </rPh>
    <rPh sb="21" eb="22">
      <t>ハイ</t>
    </rPh>
    <phoneticPr fontId="2"/>
  </si>
  <si>
    <t>更新したUserもしくは、システムのIDが入る</t>
    <rPh sb="0" eb="2">
      <t>コウシン</t>
    </rPh>
    <phoneticPr fontId="2"/>
  </si>
  <si>
    <t>10</t>
    <phoneticPr fontId="2"/>
  </si>
  <si>
    <t>登録者</t>
    <rPh sb="0" eb="3">
      <t>トウロクシャ</t>
    </rPh>
    <phoneticPr fontId="2"/>
  </si>
  <si>
    <t>int</t>
    <phoneticPr fontId="5"/>
  </si>
  <si>
    <t>2</t>
    <phoneticPr fontId="2"/>
  </si>
  <si>
    <t>カード枚数</t>
    <rPh sb="3" eb="5">
      <t>マイスウ</t>
    </rPh>
    <phoneticPr fontId="2"/>
  </si>
  <si>
    <t>対戦</t>
    <rPh sb="0" eb="2">
      <t>タイセン</t>
    </rPh>
    <phoneticPr fontId="2"/>
  </si>
  <si>
    <t>フェイズ名称</t>
    <rPh sb="4" eb="6">
      <t>メイショウ</t>
    </rPh>
    <phoneticPr fontId="2"/>
  </si>
  <si>
    <t>phase_name</t>
    <phoneticPr fontId="2"/>
  </si>
  <si>
    <t>●</t>
    <phoneticPr fontId="2"/>
  </si>
  <si>
    <t>アタックフェイズ</t>
    <phoneticPr fontId="2"/>
  </si>
  <si>
    <t>種類</t>
    <rPh sb="0" eb="2">
      <t>シュルイ</t>
    </rPh>
    <phoneticPr fontId="5"/>
  </si>
  <si>
    <t>マスタ</t>
    <phoneticPr fontId="2"/>
  </si>
  <si>
    <t>フェイズ番号</t>
    <rPh sb="4" eb="6">
      <t>バンゴウ</t>
    </rPh>
    <phoneticPr fontId="2"/>
  </si>
  <si>
    <t>ステップ番号</t>
    <rPh sb="4" eb="6">
      <t>バンゴウ</t>
    </rPh>
    <phoneticPr fontId="2"/>
  </si>
  <si>
    <t>ステップ名称</t>
    <rPh sb="4" eb="6">
      <t>メイショウ</t>
    </rPh>
    <phoneticPr fontId="2"/>
  </si>
  <si>
    <t>●</t>
    <phoneticPr fontId="2"/>
  </si>
  <si>
    <t>ドローフェイズ</t>
    <phoneticPr fontId="2"/>
  </si>
  <si>
    <t>備考</t>
    <rPh sb="0" eb="2">
      <t>ビコウ</t>
    </rPh>
    <phoneticPr fontId="2"/>
  </si>
  <si>
    <t>◆フェイズ定義</t>
    <rPh sb="5" eb="7">
      <t>テイギ</t>
    </rPh>
    <phoneticPr fontId="2"/>
  </si>
  <si>
    <t>BSPS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</si>
</sst>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_ "/>
  </numFmts>
  <fonts count="10" x14ac:knownFonts="1">
    <font>
      <sz val="11"/>
      <color theme="1"/>
      <name val="ＭＳ Ｐゴシック"/>
      <family val="2"/>
      <scheme val="minor"/>
    </font>
    <font>
      <sz val="11"/>
      <color theme="1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b/>
      <sz val="11"/>
      <color theme="1"/>
      <name val="ＭＳ ゴシック"/>
      <family val="3"/>
      <charset val="128"/>
    </font>
    <font>
      <sz val="11"/>
      <color theme="1"/>
      <name val="Meiryo UI"/>
      <family val="3"/>
      <charset val="128"/>
    </font>
    <font>
      <sz val="1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3" xfId="0" applyFont="1" applyBorder="1"/>
    <xf numFmtId="0" fontId="1" fillId="0" borderId="9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176" fontId="3" fillId="0" borderId="17" xfId="0" applyNumberFormat="1" applyFont="1" applyBorder="1" applyAlignment="1">
      <alignment horizontal="right" vertical="center"/>
    </xf>
    <xf numFmtId="14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18" xfId="0" applyFont="1" applyBorder="1" applyAlignment="1">
      <alignment horizontal="center" vertical="center"/>
    </xf>
    <xf numFmtId="177" fontId="3" fillId="0" borderId="19" xfId="0" applyNumberFormat="1" applyFont="1" applyBorder="1" applyAlignment="1">
      <alignment horizontal="right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20" xfId="0" applyFont="1" applyBorder="1" applyAlignment="1">
      <alignment horizontal="center" vertical="center"/>
    </xf>
    <xf numFmtId="177" fontId="3" fillId="0" borderId="21" xfId="0" applyNumberFormat="1" applyFont="1" applyBorder="1" applyAlignment="1">
      <alignment horizontal="right" vertical="center"/>
    </xf>
    <xf numFmtId="14" fontId="3" fillId="0" borderId="22" xfId="0" applyNumberFormat="1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49" fontId="1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4" fontId="0" fillId="0" borderId="0" xfId="0" applyNumberFormat="1"/>
    <xf numFmtId="49" fontId="8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/>
    <xf numFmtId="49" fontId="1" fillId="0" borderId="0" xfId="0" applyNumberFormat="1" applyFont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49" fontId="6" fillId="0" borderId="1" xfId="0" applyNumberFormat="1" applyFont="1" applyBorder="1" applyAlignment="1">
      <alignment vertical="center"/>
    </xf>
    <xf numFmtId="49" fontId="1" fillId="2" borderId="24" xfId="0" applyNumberFormat="1" applyFont="1" applyFill="1" applyBorder="1" applyAlignment="1">
      <alignment vertical="center"/>
    </xf>
    <xf numFmtId="49" fontId="1" fillId="0" borderId="24" xfId="0" applyNumberFormat="1" applyFont="1" applyBorder="1" applyAlignment="1">
      <alignment vertical="center"/>
    </xf>
    <xf numFmtId="0" fontId="8" fillId="0" borderId="1" xfId="0" applyNumberFormat="1" applyFont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A4"/>
  <sheetViews>
    <sheetView showGridLines="0" tabSelected="1" zoomScaleNormal="100" workbookViewId="0"/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46" t="s">
        <v>0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 t="s">
        <v>1</v>
      </c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 t="s">
        <v>2</v>
      </c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 t="s">
        <v>3</v>
      </c>
      <c r="AX2" s="46"/>
      <c r="AY2" s="46"/>
      <c r="AZ2" s="46"/>
      <c r="BA2" s="46"/>
    </row>
    <row r="3" spans="2:53" ht="13.5" customHeight="1" x14ac:dyDescent="0.2">
      <c r="B3" s="47" t="s">
        <v>4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8" t="s">
        <v>5</v>
      </c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 t="s">
        <v>6</v>
      </c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 t="s">
        <v>7</v>
      </c>
      <c r="AX3" s="47"/>
      <c r="AY3" s="47"/>
      <c r="AZ3" s="47"/>
      <c r="BA3" s="47"/>
    </row>
    <row r="4" spans="2:53" ht="13.5" customHeight="1" x14ac:dyDescent="0.2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</row>
  </sheetData>
  <mergeCells count="8">
    <mergeCell ref="B2:M2"/>
    <mergeCell ref="N2:AC2"/>
    <mergeCell ref="AD2:AV2"/>
    <mergeCell ref="AW2:BA2"/>
    <mergeCell ref="B3:M3"/>
    <mergeCell ref="N3:AC3"/>
    <mergeCell ref="AD3:AV3"/>
    <mergeCell ref="AW3:BA3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showGridLines="0" workbookViewId="0">
      <selection activeCell="B2" sqref="B2:E3"/>
    </sheetView>
  </sheetViews>
  <sheetFormatPr defaultColWidth="2.6328125" defaultRowHeight="13" x14ac:dyDescent="0.2"/>
  <cols>
    <col min="1" max="1" width="2.6328125" style="11"/>
    <col min="2" max="2" width="8" style="11" customWidth="1"/>
    <col min="3" max="3" width="10.453125" style="11" customWidth="1"/>
    <col min="4" max="4" width="97.26953125" style="11" customWidth="1"/>
    <col min="5" max="5" width="10.453125" style="11" customWidth="1"/>
    <col min="6" max="16384" width="2.6328125" style="11"/>
  </cols>
  <sheetData>
    <row r="1" spans="1:6" x14ac:dyDescent="0.2">
      <c r="B1" s="12"/>
      <c r="C1" s="12"/>
      <c r="D1" s="12"/>
      <c r="E1" s="12"/>
      <c r="F1" s="12"/>
    </row>
    <row r="2" spans="1:6" x14ac:dyDescent="0.2">
      <c r="A2" s="12"/>
      <c r="B2" s="49" t="s">
        <v>8</v>
      </c>
      <c r="C2" s="49"/>
      <c r="D2" s="49"/>
      <c r="E2" s="49"/>
      <c r="F2" s="12"/>
    </row>
    <row r="3" spans="1:6" ht="13.5" thickBot="1" x14ac:dyDescent="0.25">
      <c r="A3" s="12"/>
      <c r="B3" s="49"/>
      <c r="C3" s="49"/>
      <c r="D3" s="49"/>
      <c r="E3" s="49"/>
      <c r="F3" s="12"/>
    </row>
    <row r="4" spans="1:6" ht="13.5" thickBot="1" x14ac:dyDescent="0.25">
      <c r="A4" s="12"/>
      <c r="B4" s="13" t="s">
        <v>9</v>
      </c>
      <c r="C4" s="14" t="s">
        <v>10</v>
      </c>
      <c r="D4" s="15" t="s">
        <v>11</v>
      </c>
      <c r="E4" s="16" t="s">
        <v>12</v>
      </c>
      <c r="F4" s="12"/>
    </row>
    <row r="5" spans="1:6" ht="13.5" thickTop="1" x14ac:dyDescent="0.2">
      <c r="A5" s="12"/>
      <c r="B5" s="17">
        <v>1</v>
      </c>
      <c r="C5" s="18">
        <v>44417</v>
      </c>
      <c r="D5" s="19" t="s">
        <v>13</v>
      </c>
      <c r="E5" s="20" t="s">
        <v>14</v>
      </c>
      <c r="F5" s="12"/>
    </row>
    <row r="6" spans="1:6" x14ac:dyDescent="0.2">
      <c r="A6" s="12"/>
      <c r="B6" s="21"/>
      <c r="C6" s="22"/>
      <c r="D6" s="23"/>
      <c r="E6" s="24"/>
      <c r="F6" s="12"/>
    </row>
    <row r="7" spans="1:6" x14ac:dyDescent="0.2">
      <c r="A7" s="12"/>
      <c r="B7" s="21"/>
      <c r="C7" s="22"/>
      <c r="D7" s="23"/>
      <c r="E7" s="24"/>
      <c r="F7" s="12"/>
    </row>
    <row r="8" spans="1:6" x14ac:dyDescent="0.2">
      <c r="A8" s="12"/>
      <c r="B8" s="21"/>
      <c r="C8" s="22"/>
      <c r="D8" s="23"/>
      <c r="E8" s="24"/>
      <c r="F8" s="12"/>
    </row>
    <row r="9" spans="1:6" x14ac:dyDescent="0.2">
      <c r="A9" s="12"/>
      <c r="B9" s="21"/>
      <c r="C9" s="22"/>
      <c r="D9" s="23"/>
      <c r="E9" s="24"/>
      <c r="F9" s="12"/>
    </row>
    <row r="10" spans="1:6" x14ac:dyDescent="0.2">
      <c r="A10" s="12"/>
      <c r="B10" s="21"/>
      <c r="C10" s="22"/>
      <c r="D10" s="23"/>
      <c r="E10" s="24"/>
      <c r="F10" s="12"/>
    </row>
    <row r="11" spans="1:6" x14ac:dyDescent="0.2">
      <c r="A11" s="12"/>
      <c r="B11" s="21"/>
      <c r="C11" s="22"/>
      <c r="D11" s="23"/>
      <c r="E11" s="24"/>
      <c r="F11" s="12"/>
    </row>
    <row r="12" spans="1:6" x14ac:dyDescent="0.2">
      <c r="A12" s="12"/>
      <c r="B12" s="21"/>
      <c r="C12" s="22"/>
      <c r="D12" s="23"/>
      <c r="E12" s="24"/>
      <c r="F12" s="12"/>
    </row>
    <row r="13" spans="1:6" x14ac:dyDescent="0.2">
      <c r="A13" s="12"/>
      <c r="B13" s="21"/>
      <c r="C13" s="22"/>
      <c r="D13" s="23"/>
      <c r="E13" s="24"/>
      <c r="F13" s="12"/>
    </row>
    <row r="14" spans="1:6" x14ac:dyDescent="0.2">
      <c r="A14" s="12"/>
      <c r="B14" s="21"/>
      <c r="C14" s="22"/>
      <c r="D14" s="23"/>
      <c r="E14" s="24"/>
      <c r="F14" s="12"/>
    </row>
    <row r="15" spans="1:6" x14ac:dyDescent="0.2">
      <c r="A15" s="12"/>
      <c r="B15" s="21"/>
      <c r="C15" s="22"/>
      <c r="D15" s="23"/>
      <c r="E15" s="24"/>
      <c r="F15" s="12"/>
    </row>
    <row r="16" spans="1:6" x14ac:dyDescent="0.2">
      <c r="A16" s="12"/>
      <c r="B16" s="21"/>
      <c r="C16" s="22"/>
      <c r="D16" s="23"/>
      <c r="E16" s="24"/>
      <c r="F16" s="12"/>
    </row>
    <row r="17" spans="1:6" x14ac:dyDescent="0.2">
      <c r="A17" s="12"/>
      <c r="B17" s="21"/>
      <c r="C17" s="22"/>
      <c r="D17" s="23"/>
      <c r="E17" s="24"/>
      <c r="F17" s="12"/>
    </row>
    <row r="18" spans="1:6" x14ac:dyDescent="0.2">
      <c r="A18" s="12"/>
      <c r="B18" s="21"/>
      <c r="C18" s="22"/>
      <c r="D18" s="23"/>
      <c r="E18" s="24"/>
      <c r="F18" s="12"/>
    </row>
    <row r="19" spans="1:6" x14ac:dyDescent="0.2">
      <c r="A19" s="12"/>
      <c r="B19" s="21"/>
      <c r="C19" s="22"/>
      <c r="D19" s="23"/>
      <c r="E19" s="24"/>
      <c r="F19" s="12"/>
    </row>
    <row r="20" spans="1:6" x14ac:dyDescent="0.2">
      <c r="A20" s="12"/>
      <c r="B20" s="21"/>
      <c r="C20" s="22"/>
      <c r="D20" s="23"/>
      <c r="E20" s="24"/>
      <c r="F20" s="12"/>
    </row>
    <row r="21" spans="1:6" x14ac:dyDescent="0.2">
      <c r="A21" s="12"/>
      <c r="B21" s="21"/>
      <c r="C21" s="22"/>
      <c r="D21" s="23"/>
      <c r="E21" s="24"/>
      <c r="F21" s="12"/>
    </row>
    <row r="22" spans="1:6" x14ac:dyDescent="0.2">
      <c r="A22" s="12"/>
      <c r="B22" s="21"/>
      <c r="C22" s="22"/>
      <c r="D22" s="23"/>
      <c r="E22" s="24"/>
      <c r="F22" s="12"/>
    </row>
    <row r="23" spans="1:6" x14ac:dyDescent="0.2">
      <c r="A23" s="12"/>
      <c r="B23" s="21"/>
      <c r="C23" s="22"/>
      <c r="D23" s="23"/>
      <c r="E23" s="24"/>
      <c r="F23" s="12"/>
    </row>
    <row r="24" spans="1:6" x14ac:dyDescent="0.2">
      <c r="A24" s="12"/>
      <c r="B24" s="21"/>
      <c r="C24" s="22"/>
      <c r="D24" s="23"/>
      <c r="E24" s="24"/>
      <c r="F24" s="12"/>
    </row>
    <row r="25" spans="1:6" x14ac:dyDescent="0.2">
      <c r="A25" s="12"/>
      <c r="B25" s="21"/>
      <c r="C25" s="22"/>
      <c r="D25" s="23"/>
      <c r="E25" s="24"/>
      <c r="F25" s="12"/>
    </row>
    <row r="26" spans="1:6" x14ac:dyDescent="0.2">
      <c r="A26" s="12"/>
      <c r="B26" s="21"/>
      <c r="C26" s="22"/>
      <c r="D26" s="23"/>
      <c r="E26" s="24"/>
      <c r="F26" s="12"/>
    </row>
    <row r="27" spans="1:6" x14ac:dyDescent="0.2">
      <c r="A27" s="12"/>
      <c r="B27" s="21"/>
      <c r="C27" s="22"/>
      <c r="D27" s="23"/>
      <c r="E27" s="24"/>
      <c r="F27" s="12"/>
    </row>
    <row r="28" spans="1:6" x14ac:dyDescent="0.2">
      <c r="A28" s="12"/>
      <c r="B28" s="21"/>
      <c r="C28" s="22"/>
      <c r="D28" s="23"/>
      <c r="E28" s="24"/>
      <c r="F28" s="12"/>
    </row>
    <row r="29" spans="1:6" x14ac:dyDescent="0.2">
      <c r="A29" s="12"/>
      <c r="B29" s="21"/>
      <c r="C29" s="22"/>
      <c r="D29" s="23"/>
      <c r="E29" s="24"/>
      <c r="F29" s="12"/>
    </row>
    <row r="30" spans="1:6" x14ac:dyDescent="0.2">
      <c r="A30" s="12"/>
      <c r="B30" s="21"/>
      <c r="C30" s="22"/>
      <c r="D30" s="23"/>
      <c r="E30" s="24"/>
      <c r="F30" s="12"/>
    </row>
    <row r="31" spans="1:6" x14ac:dyDescent="0.2">
      <c r="A31" s="12"/>
      <c r="B31" s="21"/>
      <c r="C31" s="22"/>
      <c r="D31" s="23"/>
      <c r="E31" s="24"/>
      <c r="F31" s="12"/>
    </row>
    <row r="32" spans="1:6" x14ac:dyDescent="0.2">
      <c r="A32" s="12"/>
      <c r="B32" s="21"/>
      <c r="C32" s="22"/>
      <c r="D32" s="23"/>
      <c r="E32" s="24"/>
      <c r="F32" s="12"/>
    </row>
    <row r="33" spans="1:6" x14ac:dyDescent="0.2">
      <c r="A33" s="12"/>
      <c r="B33" s="21"/>
      <c r="C33" s="22"/>
      <c r="D33" s="23"/>
      <c r="E33" s="24"/>
      <c r="F33" s="12"/>
    </row>
    <row r="34" spans="1:6" x14ac:dyDescent="0.2">
      <c r="A34" s="12"/>
      <c r="B34" s="21"/>
      <c r="C34" s="22"/>
      <c r="D34" s="23"/>
      <c r="E34" s="24"/>
      <c r="F34" s="12"/>
    </row>
    <row r="35" spans="1:6" x14ac:dyDescent="0.2">
      <c r="A35" s="12"/>
      <c r="B35" s="21"/>
      <c r="C35" s="22"/>
      <c r="D35" s="23"/>
      <c r="E35" s="24"/>
      <c r="F35" s="12"/>
    </row>
    <row r="36" spans="1:6" x14ac:dyDescent="0.2">
      <c r="A36" s="12"/>
      <c r="B36" s="21"/>
      <c r="C36" s="22"/>
      <c r="D36" s="23"/>
      <c r="E36" s="24"/>
      <c r="F36" s="12"/>
    </row>
    <row r="37" spans="1:6" x14ac:dyDescent="0.2">
      <c r="A37" s="12"/>
      <c r="B37" s="21"/>
      <c r="C37" s="22"/>
      <c r="D37" s="23"/>
      <c r="E37" s="24"/>
      <c r="F37" s="12"/>
    </row>
    <row r="38" spans="1:6" ht="13.5" thickBot="1" x14ac:dyDescent="0.25">
      <c r="A38" s="12"/>
      <c r="B38" s="25"/>
      <c r="C38" s="26"/>
      <c r="D38" s="27"/>
      <c r="E38" s="28"/>
      <c r="F38" s="12"/>
    </row>
    <row r="39" spans="1:6" x14ac:dyDescent="0.2">
      <c r="A39" s="12"/>
      <c r="B39" s="12"/>
      <c r="C39" s="12"/>
      <c r="D39" s="12"/>
      <c r="E39" s="12"/>
      <c r="F39" s="12"/>
    </row>
  </sheetData>
  <mergeCells count="1">
    <mergeCell ref="B2:E3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verticalDpi="0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79"/>
  <sheetViews>
    <sheetView showGridLines="0" zoomScaleNormal="100" workbookViewId="0"/>
  </sheetViews>
  <sheetFormatPr defaultColWidth="2.6328125" defaultRowHeight="13" x14ac:dyDescent="0.2"/>
  <cols>
    <col min="1" max="1" width="2.6328125" style="37"/>
    <col min="2" max="2" width="13.08984375" style="37" bestFit="1" customWidth="1"/>
    <col min="3" max="3" width="15.26953125" style="37" bestFit="1" customWidth="1"/>
    <col min="4" max="4" width="23.6328125" style="37" bestFit="1" customWidth="1"/>
    <col min="5" max="5" width="18.453125" style="37" bestFit="1" customWidth="1"/>
    <col min="6" max="6" width="20.453125" style="37" bestFit="1" customWidth="1"/>
    <col min="7" max="7" width="17.36328125" style="37" bestFit="1" customWidth="1"/>
    <col min="8" max="16384" width="2.6328125" style="37"/>
  </cols>
  <sheetData>
    <row r="2" spans="2:7" ht="13.5" customHeight="1" x14ac:dyDescent="0.2">
      <c r="B2" s="39" t="s">
        <v>0</v>
      </c>
      <c r="C2" s="39" t="s">
        <v>1</v>
      </c>
      <c r="D2" s="39" t="s">
        <v>3</v>
      </c>
      <c r="E2" s="39" t="s">
        <v>346</v>
      </c>
      <c r="F2" s="39" t="s">
        <v>348</v>
      </c>
      <c r="G2" s="39" t="s">
        <v>349</v>
      </c>
    </row>
    <row r="3" spans="2:7" ht="13.5" customHeight="1" x14ac:dyDescent="0.2">
      <c r="B3" s="40" t="s">
        <v>4</v>
      </c>
      <c r="C3" s="41" t="s">
        <v>15</v>
      </c>
      <c r="D3" s="40" t="s">
        <v>7</v>
      </c>
      <c r="E3" s="40" t="s">
        <v>347</v>
      </c>
      <c r="F3" s="40" t="s">
        <v>7</v>
      </c>
      <c r="G3" s="40" t="s">
        <v>347</v>
      </c>
    </row>
    <row r="4" spans="2:7" ht="13.5" customHeight="1" x14ac:dyDescent="0.2">
      <c r="B4" s="38"/>
      <c r="C4" s="38"/>
      <c r="D4" s="38"/>
      <c r="E4" s="38"/>
      <c r="F4" s="38"/>
      <c r="G4" s="38"/>
    </row>
    <row r="5" spans="2:7" ht="13.5" customHeight="1" x14ac:dyDescent="0.2">
      <c r="B5" s="42" t="s">
        <v>16</v>
      </c>
      <c r="C5" s="42" t="s">
        <v>17</v>
      </c>
      <c r="D5" s="42" t="s">
        <v>18</v>
      </c>
      <c r="E5" s="42" t="s">
        <v>19</v>
      </c>
      <c r="F5" s="42" t="s">
        <v>20</v>
      </c>
      <c r="G5" s="42"/>
    </row>
    <row r="6" spans="2:7" x14ac:dyDescent="0.2">
      <c r="B6" s="43" t="s">
        <v>27</v>
      </c>
      <c r="C6" s="43" t="s">
        <v>28</v>
      </c>
      <c r="D6" s="43" t="s">
        <v>29</v>
      </c>
      <c r="E6" s="43"/>
      <c r="F6" s="43"/>
      <c r="G6" s="43" t="s">
        <v>30</v>
      </c>
    </row>
    <row r="7" spans="2:7" x14ac:dyDescent="0.2">
      <c r="B7" s="43" t="s">
        <v>21</v>
      </c>
      <c r="C7" s="43" t="s">
        <v>22</v>
      </c>
      <c r="D7" s="43" t="s">
        <v>23</v>
      </c>
      <c r="E7" s="43" t="s">
        <v>24</v>
      </c>
      <c r="F7" s="43" t="s">
        <v>25</v>
      </c>
      <c r="G7" s="43" t="s">
        <v>26</v>
      </c>
    </row>
    <row r="8" spans="2:7" x14ac:dyDescent="0.2">
      <c r="B8" s="43"/>
      <c r="C8" s="43"/>
      <c r="D8" s="43"/>
      <c r="E8" s="43"/>
      <c r="F8" s="43"/>
      <c r="G8" s="43"/>
    </row>
    <row r="9" spans="2:7" ht="13" customHeight="1" x14ac:dyDescent="0.2">
      <c r="B9" s="43"/>
      <c r="C9" s="43"/>
      <c r="D9" s="43"/>
      <c r="E9" s="43"/>
      <c r="F9" s="43"/>
      <c r="G9" s="43"/>
    </row>
    <row r="10" spans="2:7" x14ac:dyDescent="0.2">
      <c r="B10" s="43" t="s">
        <v>31</v>
      </c>
      <c r="C10" s="43" t="s">
        <v>31</v>
      </c>
      <c r="D10" s="43" t="s">
        <v>32</v>
      </c>
      <c r="E10" s="43" t="s">
        <v>33</v>
      </c>
      <c r="F10" s="43" t="s">
        <v>34</v>
      </c>
      <c r="G10" s="43"/>
    </row>
    <row r="11" spans="2:7" x14ac:dyDescent="0.2">
      <c r="B11" s="43" t="s">
        <v>31</v>
      </c>
      <c r="C11" s="43" t="s">
        <v>35</v>
      </c>
      <c r="D11" s="43" t="s">
        <v>36</v>
      </c>
      <c r="E11" s="43" t="s">
        <v>37</v>
      </c>
      <c r="F11" s="43" t="s">
        <v>38</v>
      </c>
      <c r="G11" s="43"/>
    </row>
    <row r="12" spans="2:7" x14ac:dyDescent="0.2">
      <c r="B12" s="43" t="s">
        <v>31</v>
      </c>
      <c r="C12" s="43" t="s">
        <v>31</v>
      </c>
      <c r="D12" s="43" t="s">
        <v>32</v>
      </c>
      <c r="E12" s="43" t="s">
        <v>33</v>
      </c>
      <c r="F12" s="43" t="s">
        <v>34</v>
      </c>
      <c r="G12" s="43"/>
    </row>
    <row r="13" spans="2:7" x14ac:dyDescent="0.2">
      <c r="B13" s="43" t="s">
        <v>31</v>
      </c>
      <c r="C13" s="43" t="s">
        <v>35</v>
      </c>
      <c r="D13" s="43" t="s">
        <v>36</v>
      </c>
      <c r="E13" s="43" t="s">
        <v>37</v>
      </c>
      <c r="F13" s="43" t="s">
        <v>38</v>
      </c>
      <c r="G13" s="43"/>
    </row>
    <row r="14" spans="2:7" x14ac:dyDescent="0.2">
      <c r="B14" s="43" t="s">
        <v>31</v>
      </c>
      <c r="C14" s="43" t="s">
        <v>39</v>
      </c>
      <c r="D14" s="43" t="s">
        <v>40</v>
      </c>
      <c r="E14" s="43" t="s">
        <v>41</v>
      </c>
      <c r="F14" s="43" t="s">
        <v>42</v>
      </c>
      <c r="G14" s="43"/>
    </row>
    <row r="15" spans="2:7" x14ac:dyDescent="0.2">
      <c r="B15" s="43" t="s">
        <v>43</v>
      </c>
      <c r="C15" s="43" t="s">
        <v>43</v>
      </c>
      <c r="D15" s="43" t="s">
        <v>44</v>
      </c>
      <c r="E15" s="43" t="s">
        <v>45</v>
      </c>
      <c r="F15" s="43" t="s">
        <v>46</v>
      </c>
      <c r="G15" s="43"/>
    </row>
    <row r="16" spans="2:7" x14ac:dyDescent="0.2">
      <c r="B16" s="43" t="s">
        <v>43</v>
      </c>
      <c r="C16" s="43" t="s">
        <v>47</v>
      </c>
      <c r="D16" s="43" t="s">
        <v>48</v>
      </c>
      <c r="E16" s="43" t="s">
        <v>49</v>
      </c>
      <c r="F16" s="43" t="s">
        <v>50</v>
      </c>
      <c r="G16" s="43"/>
    </row>
    <row r="17" spans="2:7" x14ac:dyDescent="0.2">
      <c r="B17" s="43" t="s">
        <v>43</v>
      </c>
      <c r="C17" s="43" t="s">
        <v>51</v>
      </c>
      <c r="D17" s="43" t="s">
        <v>25</v>
      </c>
      <c r="E17" s="43" t="s">
        <v>52</v>
      </c>
      <c r="F17" s="43" t="s">
        <v>53</v>
      </c>
      <c r="G17" s="43"/>
    </row>
    <row r="18" spans="2:7" x14ac:dyDescent="0.2">
      <c r="B18" s="43" t="s">
        <v>43</v>
      </c>
      <c r="C18" s="43" t="s">
        <v>54</v>
      </c>
      <c r="D18" s="43" t="s">
        <v>48</v>
      </c>
      <c r="E18" s="43" t="s">
        <v>24</v>
      </c>
      <c r="F18" s="43" t="s">
        <v>55</v>
      </c>
      <c r="G18" s="43"/>
    </row>
    <row r="19" spans="2:7" x14ac:dyDescent="0.2">
      <c r="B19" s="43" t="s">
        <v>56</v>
      </c>
      <c r="C19" s="43" t="s">
        <v>57</v>
      </c>
      <c r="D19" s="43" t="s">
        <v>58</v>
      </c>
      <c r="E19" s="43" t="s">
        <v>59</v>
      </c>
      <c r="F19" s="43" t="s">
        <v>60</v>
      </c>
      <c r="G19" s="43"/>
    </row>
    <row r="20" spans="2:7" x14ac:dyDescent="0.2">
      <c r="B20" s="43" t="s">
        <v>27</v>
      </c>
      <c r="C20" s="43" t="s">
        <v>61</v>
      </c>
      <c r="D20" s="43" t="s">
        <v>62</v>
      </c>
      <c r="E20" s="43" t="s">
        <v>63</v>
      </c>
      <c r="F20" s="43" t="s">
        <v>64</v>
      </c>
      <c r="G20" s="43"/>
    </row>
    <row r="21" spans="2:7" x14ac:dyDescent="0.2">
      <c r="B21" s="43"/>
      <c r="C21" s="43"/>
      <c r="D21" s="43"/>
      <c r="E21" s="43"/>
      <c r="F21" s="43"/>
      <c r="G21" s="43"/>
    </row>
    <row r="22" spans="2:7" x14ac:dyDescent="0.2">
      <c r="B22" s="43"/>
      <c r="C22" s="43"/>
      <c r="D22" s="43"/>
      <c r="E22" s="43"/>
      <c r="F22" s="43"/>
      <c r="G22" s="43"/>
    </row>
    <row r="23" spans="2:7" x14ac:dyDescent="0.2">
      <c r="B23" s="43"/>
      <c r="C23" s="43"/>
      <c r="D23" s="43"/>
      <c r="E23" s="43"/>
      <c r="F23" s="43"/>
      <c r="G23" s="43"/>
    </row>
    <row r="24" spans="2:7" x14ac:dyDescent="0.2">
      <c r="B24" s="43"/>
      <c r="C24" s="43"/>
      <c r="D24" s="43"/>
      <c r="E24" s="43"/>
      <c r="F24" s="43"/>
      <c r="G24" s="43"/>
    </row>
    <row r="25" spans="2:7" x14ac:dyDescent="0.2">
      <c r="B25" s="43"/>
      <c r="C25" s="43"/>
      <c r="D25" s="43"/>
      <c r="E25" s="43"/>
      <c r="F25" s="43"/>
      <c r="G25" s="43"/>
    </row>
    <row r="26" spans="2:7" x14ac:dyDescent="0.2">
      <c r="B26" s="43"/>
      <c r="C26" s="43"/>
      <c r="D26" s="43"/>
      <c r="E26" s="43"/>
      <c r="F26" s="43"/>
      <c r="G26" s="43"/>
    </row>
    <row r="27" spans="2:7" x14ac:dyDescent="0.2">
      <c r="B27" s="43"/>
      <c r="C27" s="43"/>
      <c r="D27" s="43"/>
      <c r="E27" s="43"/>
      <c r="F27" s="43"/>
      <c r="G27" s="43"/>
    </row>
    <row r="28" spans="2:7" x14ac:dyDescent="0.2">
      <c r="B28" s="43"/>
      <c r="C28" s="43"/>
      <c r="D28" s="43"/>
      <c r="E28" s="43"/>
      <c r="F28" s="43"/>
      <c r="G28" s="43"/>
    </row>
    <row r="29" spans="2:7" x14ac:dyDescent="0.2">
      <c r="B29" s="43"/>
      <c r="C29" s="43"/>
      <c r="D29" s="43"/>
      <c r="E29" s="43"/>
      <c r="F29" s="43"/>
      <c r="G29" s="43"/>
    </row>
    <row r="30" spans="2:7" x14ac:dyDescent="0.2">
      <c r="B30" s="43"/>
      <c r="C30" s="43"/>
      <c r="D30" s="43"/>
      <c r="E30" s="43"/>
      <c r="F30" s="43"/>
      <c r="G30" s="43"/>
    </row>
    <row r="31" spans="2:7" x14ac:dyDescent="0.2">
      <c r="B31" s="43"/>
      <c r="C31" s="43"/>
      <c r="D31" s="43"/>
      <c r="E31" s="43"/>
      <c r="F31" s="43"/>
      <c r="G31" s="43"/>
    </row>
    <row r="32" spans="2:7" x14ac:dyDescent="0.2">
      <c r="B32" s="43"/>
      <c r="C32" s="43"/>
      <c r="D32" s="43"/>
      <c r="E32" s="43"/>
      <c r="F32" s="43"/>
      <c r="G32" s="43"/>
    </row>
    <row r="33" spans="2:7" x14ac:dyDescent="0.2">
      <c r="B33" s="43"/>
      <c r="C33" s="43"/>
      <c r="D33" s="43"/>
      <c r="E33" s="43"/>
      <c r="F33" s="43"/>
      <c r="G33" s="43"/>
    </row>
    <row r="34" spans="2:7" x14ac:dyDescent="0.2">
      <c r="B34" s="43"/>
      <c r="C34" s="43"/>
      <c r="D34" s="43"/>
      <c r="E34" s="43"/>
      <c r="F34" s="43"/>
      <c r="G34" s="43"/>
    </row>
    <row r="35" spans="2:7" x14ac:dyDescent="0.2">
      <c r="B35" s="43"/>
      <c r="C35" s="43"/>
      <c r="D35" s="43"/>
      <c r="E35" s="43"/>
      <c r="F35" s="43"/>
      <c r="G35" s="43"/>
    </row>
    <row r="36" spans="2:7" x14ac:dyDescent="0.2">
      <c r="B36" s="43"/>
      <c r="C36" s="43"/>
      <c r="D36" s="43"/>
      <c r="E36" s="43"/>
      <c r="F36" s="43"/>
      <c r="G36" s="43"/>
    </row>
    <row r="37" spans="2:7" x14ac:dyDescent="0.2">
      <c r="B37" s="43"/>
      <c r="C37" s="43"/>
      <c r="D37" s="43"/>
      <c r="E37" s="43"/>
      <c r="F37" s="43"/>
      <c r="G37" s="43"/>
    </row>
    <row r="38" spans="2:7" x14ac:dyDescent="0.2">
      <c r="B38" s="43"/>
      <c r="C38" s="43"/>
      <c r="D38" s="43"/>
      <c r="E38" s="43"/>
      <c r="F38" s="43"/>
      <c r="G38" s="43"/>
    </row>
    <row r="39" spans="2:7" x14ac:dyDescent="0.2">
      <c r="B39" s="43"/>
      <c r="C39" s="43"/>
      <c r="D39" s="43"/>
      <c r="E39" s="43"/>
      <c r="F39" s="43"/>
      <c r="G39" s="43"/>
    </row>
    <row r="40" spans="2:7" x14ac:dyDescent="0.2">
      <c r="B40" s="43"/>
      <c r="C40" s="43"/>
      <c r="D40" s="43"/>
      <c r="E40" s="43"/>
      <c r="F40" s="43"/>
      <c r="G40" s="43"/>
    </row>
    <row r="41" spans="2:7" x14ac:dyDescent="0.2">
      <c r="B41" s="43"/>
      <c r="C41" s="43"/>
      <c r="D41" s="43"/>
      <c r="E41" s="43"/>
      <c r="F41" s="43"/>
      <c r="G41" s="43"/>
    </row>
    <row r="42" spans="2:7" x14ac:dyDescent="0.2">
      <c r="B42" s="43"/>
      <c r="C42" s="43"/>
      <c r="D42" s="43"/>
      <c r="E42" s="43"/>
      <c r="F42" s="43"/>
      <c r="G42" s="43"/>
    </row>
    <row r="43" spans="2:7" x14ac:dyDescent="0.2">
      <c r="B43" s="43"/>
      <c r="C43" s="43"/>
      <c r="D43" s="43"/>
      <c r="E43" s="43"/>
      <c r="F43" s="43"/>
      <c r="G43" s="43"/>
    </row>
    <row r="44" spans="2:7" x14ac:dyDescent="0.2">
      <c r="B44" s="43"/>
      <c r="C44" s="43"/>
      <c r="D44" s="43"/>
      <c r="E44" s="43"/>
      <c r="F44" s="43"/>
      <c r="G44" s="43"/>
    </row>
    <row r="45" spans="2:7" x14ac:dyDescent="0.2">
      <c r="B45" s="43"/>
      <c r="C45" s="43"/>
      <c r="D45" s="43"/>
      <c r="E45" s="43"/>
      <c r="F45" s="43"/>
      <c r="G45" s="43"/>
    </row>
    <row r="46" spans="2:7" x14ac:dyDescent="0.2">
      <c r="B46" s="43"/>
      <c r="C46" s="43"/>
      <c r="D46" s="43"/>
      <c r="E46" s="43"/>
      <c r="F46" s="43"/>
      <c r="G46" s="43"/>
    </row>
    <row r="47" spans="2:7" x14ac:dyDescent="0.2">
      <c r="B47" s="43"/>
      <c r="C47" s="43"/>
      <c r="D47" s="43"/>
      <c r="E47" s="43"/>
      <c r="F47" s="43"/>
      <c r="G47" s="43"/>
    </row>
    <row r="48" spans="2:7" x14ac:dyDescent="0.2">
      <c r="B48" s="43"/>
      <c r="C48" s="43"/>
      <c r="D48" s="43"/>
      <c r="E48" s="43"/>
      <c r="F48" s="43"/>
      <c r="G48" s="43"/>
    </row>
    <row r="49" spans="2:7" x14ac:dyDescent="0.2">
      <c r="B49" s="43"/>
      <c r="C49" s="43"/>
      <c r="D49" s="43"/>
      <c r="E49" s="43"/>
      <c r="F49" s="43"/>
      <c r="G49" s="43"/>
    </row>
    <row r="50" spans="2:7" x14ac:dyDescent="0.2">
      <c r="B50" s="43"/>
      <c r="C50" s="43"/>
      <c r="D50" s="43"/>
      <c r="E50" s="43"/>
      <c r="F50" s="43"/>
      <c r="G50" s="43"/>
    </row>
    <row r="51" spans="2:7" x14ac:dyDescent="0.2">
      <c r="B51" s="43"/>
      <c r="C51" s="43"/>
      <c r="D51" s="43"/>
      <c r="E51" s="43"/>
      <c r="F51" s="43"/>
      <c r="G51" s="43"/>
    </row>
    <row r="52" spans="2:7" x14ac:dyDescent="0.2">
      <c r="B52" s="43"/>
      <c r="C52" s="43"/>
      <c r="D52" s="43"/>
      <c r="E52" s="43"/>
      <c r="F52" s="43"/>
      <c r="G52" s="43"/>
    </row>
    <row r="53" spans="2:7" x14ac:dyDescent="0.2">
      <c r="B53" s="43"/>
      <c r="C53" s="43"/>
      <c r="D53" s="43"/>
      <c r="E53" s="43"/>
      <c r="F53" s="43"/>
      <c r="G53" s="43"/>
    </row>
    <row r="54" spans="2:7" x14ac:dyDescent="0.2">
      <c r="B54" s="43"/>
      <c r="C54" s="43"/>
      <c r="D54" s="43"/>
      <c r="E54" s="43"/>
      <c r="F54" s="43"/>
      <c r="G54" s="43"/>
    </row>
    <row r="55" spans="2:7" x14ac:dyDescent="0.2">
      <c r="B55" s="43"/>
      <c r="C55" s="43"/>
      <c r="D55" s="43"/>
      <c r="E55" s="43"/>
      <c r="F55" s="43"/>
      <c r="G55" s="43"/>
    </row>
    <row r="56" spans="2:7" x14ac:dyDescent="0.2">
      <c r="B56" s="43"/>
      <c r="C56" s="43"/>
      <c r="D56" s="43"/>
      <c r="E56" s="43"/>
      <c r="F56" s="43"/>
      <c r="G56" s="43"/>
    </row>
    <row r="57" spans="2:7" x14ac:dyDescent="0.2">
      <c r="B57" s="43"/>
      <c r="C57" s="43"/>
      <c r="D57" s="43"/>
      <c r="E57" s="43"/>
      <c r="F57" s="43"/>
      <c r="G57" s="43"/>
    </row>
    <row r="58" spans="2:7" x14ac:dyDescent="0.2">
      <c r="B58" s="43"/>
      <c r="C58" s="43"/>
      <c r="D58" s="43"/>
      <c r="E58" s="43"/>
      <c r="F58" s="43"/>
      <c r="G58" s="43"/>
    </row>
    <row r="59" spans="2:7" x14ac:dyDescent="0.2">
      <c r="B59" s="43"/>
      <c r="C59" s="43"/>
      <c r="D59" s="43"/>
      <c r="E59" s="43"/>
      <c r="F59" s="43"/>
      <c r="G59" s="43"/>
    </row>
    <row r="60" spans="2:7" x14ac:dyDescent="0.2">
      <c r="B60" s="43"/>
      <c r="C60" s="43"/>
      <c r="D60" s="43"/>
      <c r="E60" s="43"/>
      <c r="F60" s="43"/>
      <c r="G60" s="43"/>
    </row>
    <row r="61" spans="2:7" x14ac:dyDescent="0.2">
      <c r="B61" s="43"/>
      <c r="C61" s="43"/>
      <c r="D61" s="43"/>
      <c r="E61" s="43"/>
      <c r="F61" s="43"/>
      <c r="G61" s="43"/>
    </row>
    <row r="62" spans="2:7" x14ac:dyDescent="0.2">
      <c r="B62" s="43"/>
      <c r="C62" s="43"/>
      <c r="D62" s="43"/>
      <c r="E62" s="43"/>
      <c r="F62" s="43"/>
      <c r="G62" s="43"/>
    </row>
    <row r="63" spans="2:7" x14ac:dyDescent="0.2">
      <c r="B63" s="43"/>
      <c r="C63" s="43"/>
      <c r="D63" s="43"/>
      <c r="E63" s="43"/>
      <c r="F63" s="43"/>
      <c r="G63" s="43"/>
    </row>
    <row r="64" spans="2:7" x14ac:dyDescent="0.2">
      <c r="B64" s="43"/>
      <c r="C64" s="43"/>
      <c r="D64" s="43"/>
      <c r="E64" s="43"/>
      <c r="F64" s="43"/>
      <c r="G64" s="43"/>
    </row>
    <row r="65" spans="2:7" x14ac:dyDescent="0.2">
      <c r="B65" s="43"/>
      <c r="C65" s="43"/>
      <c r="D65" s="43"/>
      <c r="E65" s="43"/>
      <c r="F65" s="43"/>
      <c r="G65" s="43"/>
    </row>
    <row r="66" spans="2:7" x14ac:dyDescent="0.2">
      <c r="B66" s="43"/>
      <c r="C66" s="43"/>
      <c r="D66" s="43"/>
      <c r="E66" s="43"/>
      <c r="F66" s="43"/>
      <c r="G66" s="43"/>
    </row>
    <row r="67" spans="2:7" x14ac:dyDescent="0.2">
      <c r="B67" s="43"/>
      <c r="C67" s="43"/>
      <c r="D67" s="43"/>
      <c r="E67" s="43"/>
      <c r="F67" s="43"/>
      <c r="G67" s="43"/>
    </row>
    <row r="68" spans="2:7" x14ac:dyDescent="0.2">
      <c r="B68" s="43"/>
      <c r="C68" s="43"/>
      <c r="D68" s="43"/>
      <c r="E68" s="43"/>
      <c r="F68" s="43"/>
      <c r="G68" s="43"/>
    </row>
    <row r="69" spans="2:7" x14ac:dyDescent="0.2">
      <c r="B69" s="43"/>
      <c r="C69" s="43"/>
      <c r="D69" s="43"/>
      <c r="E69" s="43"/>
      <c r="F69" s="43"/>
      <c r="G69" s="43"/>
    </row>
    <row r="70" spans="2:7" x14ac:dyDescent="0.2">
      <c r="B70" s="43"/>
      <c r="C70" s="43"/>
      <c r="D70" s="43"/>
      <c r="E70" s="43"/>
      <c r="F70" s="43"/>
      <c r="G70" s="43"/>
    </row>
    <row r="71" spans="2:7" x14ac:dyDescent="0.2">
      <c r="B71" s="43"/>
      <c r="C71" s="43"/>
      <c r="D71" s="43"/>
      <c r="E71" s="43"/>
      <c r="F71" s="43"/>
      <c r="G71" s="43"/>
    </row>
    <row r="72" spans="2:7" x14ac:dyDescent="0.2">
      <c r="B72" s="43"/>
      <c r="C72" s="43"/>
      <c r="D72" s="43"/>
      <c r="E72" s="43"/>
      <c r="F72" s="43"/>
      <c r="G72" s="43"/>
    </row>
    <row r="73" spans="2:7" x14ac:dyDescent="0.2">
      <c r="B73" s="43"/>
      <c r="C73" s="43"/>
      <c r="D73" s="43"/>
      <c r="E73" s="43"/>
      <c r="F73" s="43"/>
      <c r="G73" s="43"/>
    </row>
    <row r="74" spans="2:7" x14ac:dyDescent="0.2">
      <c r="B74" s="43"/>
      <c r="C74" s="43"/>
      <c r="D74" s="43"/>
      <c r="E74" s="43"/>
      <c r="F74" s="43"/>
      <c r="G74" s="43"/>
    </row>
    <row r="75" spans="2:7" x14ac:dyDescent="0.2">
      <c r="B75" s="43"/>
      <c r="C75" s="43"/>
      <c r="D75" s="43"/>
      <c r="E75" s="43"/>
      <c r="F75" s="43"/>
      <c r="G75" s="43"/>
    </row>
    <row r="76" spans="2:7" x14ac:dyDescent="0.2">
      <c r="B76" s="43"/>
      <c r="C76" s="43"/>
      <c r="D76" s="43"/>
      <c r="E76" s="43"/>
      <c r="F76" s="43"/>
      <c r="G76" s="43"/>
    </row>
    <row r="77" spans="2:7" x14ac:dyDescent="0.2">
      <c r="B77" s="43"/>
      <c r="C77" s="43"/>
      <c r="D77" s="43"/>
      <c r="E77" s="43"/>
      <c r="F77" s="43"/>
      <c r="G77" s="43"/>
    </row>
    <row r="78" spans="2:7" x14ac:dyDescent="0.2">
      <c r="B78" s="43"/>
      <c r="C78" s="43"/>
      <c r="D78" s="43"/>
      <c r="E78" s="43"/>
      <c r="F78" s="43"/>
      <c r="G78" s="43"/>
    </row>
    <row r="79" spans="2:7" x14ac:dyDescent="0.2">
      <c r="B79" s="43"/>
      <c r="C79" s="43"/>
      <c r="D79" s="43"/>
      <c r="E79" s="43"/>
      <c r="F79" s="43"/>
      <c r="G79" s="43"/>
    </row>
  </sheetData>
  <autoFilter ref="B5:G5" xr:uid="{00000000-0009-0000-0000-000002000000}"/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D18"/>
  <sheetViews>
    <sheetView showGridLines="0" zoomScale="70" zoomScaleNormal="70" workbookViewId="0">
      <pane ySplit="6" topLeftCell="A7" activePane="bottomLeft" state="frozen"/>
      <selection activeCell="P17" sqref="P17"/>
      <selection pane="bottomLeft" activeCell="C2" sqref="C2"/>
    </sheetView>
  </sheetViews>
  <sheetFormatPr defaultColWidth="10" defaultRowHeight="15" x14ac:dyDescent="0.2"/>
  <cols>
    <col min="1" max="1" width="4.453125" style="34" customWidth="1"/>
    <col min="2" max="2" width="10" style="34"/>
    <col min="3" max="3" width="21.453125" style="34" bestFit="1" customWidth="1"/>
    <col min="4" max="4" width="19.36328125" style="34" bestFit="1" customWidth="1"/>
    <col min="5" max="5" width="25.90625" style="34" bestFit="1" customWidth="1"/>
    <col min="6" max="7" width="9.36328125" style="34" bestFit="1" customWidth="1"/>
    <col min="8" max="8" width="13.36328125" style="34" bestFit="1" customWidth="1"/>
    <col min="9" max="9" width="11.6328125" style="34" bestFit="1" customWidth="1"/>
    <col min="10" max="11" width="18.453125" style="34" customWidth="1"/>
    <col min="12" max="12" width="19" style="34" customWidth="1"/>
    <col min="13" max="13" width="14.08984375" style="34" bestFit="1" customWidth="1"/>
    <col min="14" max="14" width="23.90625" style="34" customWidth="1"/>
    <col min="15" max="15" width="20.90625" style="34" bestFit="1" customWidth="1"/>
    <col min="16" max="16" width="40" style="34" customWidth="1"/>
    <col min="17" max="16384" width="10" style="34"/>
  </cols>
  <sheetData>
    <row r="1" spans="2:56" s="29" customFormat="1" ht="13.5" customHeight="1" x14ac:dyDescent="0.2"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</row>
    <row r="2" spans="2:56" x14ac:dyDescent="0.2">
      <c r="B2" s="32" t="s">
        <v>65</v>
      </c>
      <c r="C2" s="33" t="s">
        <v>374</v>
      </c>
      <c r="D2" s="32" t="s">
        <v>66</v>
      </c>
      <c r="E2" s="33" t="s">
        <v>28</v>
      </c>
      <c r="M2" s="32" t="s">
        <v>67</v>
      </c>
      <c r="N2" s="33" t="s">
        <v>14</v>
      </c>
      <c r="O2" s="32" t="s">
        <v>68</v>
      </c>
      <c r="P2" s="33" t="s">
        <v>69</v>
      </c>
    </row>
    <row r="3" spans="2:56" x14ac:dyDescent="0.2">
      <c r="B3" s="32" t="s">
        <v>70</v>
      </c>
      <c r="C3" s="33" t="s">
        <v>27</v>
      </c>
      <c r="D3" s="32" t="s">
        <v>71</v>
      </c>
      <c r="E3" s="33" t="s">
        <v>29</v>
      </c>
      <c r="M3" s="32" t="s">
        <v>72</v>
      </c>
      <c r="N3" s="33" t="s">
        <v>73</v>
      </c>
      <c r="O3" s="32" t="s">
        <v>74</v>
      </c>
      <c r="P3" s="33" t="s">
        <v>75</v>
      </c>
    </row>
    <row r="4" spans="2:56" x14ac:dyDescent="0.2">
      <c r="B4" s="32" t="s">
        <v>365</v>
      </c>
      <c r="C4" s="33" t="s">
        <v>366</v>
      </c>
    </row>
    <row r="6" spans="2:56" ht="25.5" customHeight="1" x14ac:dyDescent="0.2">
      <c r="B6" s="32" t="s">
        <v>76</v>
      </c>
      <c r="C6" s="32" t="s">
        <v>77</v>
      </c>
      <c r="D6" s="32" t="s">
        <v>78</v>
      </c>
      <c r="E6" s="32" t="s">
        <v>79</v>
      </c>
      <c r="F6" s="32" t="s">
        <v>80</v>
      </c>
      <c r="G6" s="32" t="s">
        <v>81</v>
      </c>
      <c r="H6" s="32" t="s">
        <v>82</v>
      </c>
      <c r="I6" s="32" t="s">
        <v>83</v>
      </c>
      <c r="J6" s="32" t="s">
        <v>84</v>
      </c>
      <c r="K6" s="32" t="s">
        <v>85</v>
      </c>
      <c r="L6" s="32" t="s">
        <v>86</v>
      </c>
      <c r="M6" s="32" t="s">
        <v>87</v>
      </c>
      <c r="N6" s="32" t="s">
        <v>88</v>
      </c>
      <c r="O6" s="32" t="s">
        <v>89</v>
      </c>
      <c r="P6" s="32" t="s">
        <v>90</v>
      </c>
    </row>
    <row r="7" spans="2:56" ht="30.75" customHeight="1" x14ac:dyDescent="0.2">
      <c r="B7" s="44">
        <f>ROW()-5</f>
        <v>2</v>
      </c>
      <c r="C7" s="33" t="s">
        <v>91</v>
      </c>
      <c r="D7" s="33" t="s">
        <v>92</v>
      </c>
      <c r="E7" s="33" t="s">
        <v>92</v>
      </c>
      <c r="F7" s="33" t="s">
        <v>93</v>
      </c>
      <c r="G7" s="33"/>
      <c r="H7" s="33"/>
      <c r="I7" s="33"/>
      <c r="J7" s="33" t="s">
        <v>93</v>
      </c>
      <c r="K7" s="33" t="s">
        <v>94</v>
      </c>
      <c r="L7" s="33">
        <v>10</v>
      </c>
      <c r="M7" s="33" t="s">
        <v>93</v>
      </c>
      <c r="N7" s="33"/>
      <c r="O7" s="33">
        <v>1000000001</v>
      </c>
      <c r="P7" s="33"/>
    </row>
    <row r="8" spans="2:56" ht="30.75" customHeight="1" x14ac:dyDescent="0.2">
      <c r="B8" s="44">
        <f t="shared" ref="B8:B18" si="0">ROW()-5</f>
        <v>3</v>
      </c>
      <c r="C8" s="33" t="s">
        <v>95</v>
      </c>
      <c r="D8" s="33" t="s">
        <v>96</v>
      </c>
      <c r="E8" s="36" t="s">
        <v>97</v>
      </c>
      <c r="F8" s="33" t="s">
        <v>93</v>
      </c>
      <c r="G8" s="33"/>
      <c r="H8" s="33"/>
      <c r="I8" s="33"/>
      <c r="J8" s="33" t="s">
        <v>93</v>
      </c>
      <c r="K8" s="33" t="s">
        <v>94</v>
      </c>
      <c r="L8" s="33">
        <v>40</v>
      </c>
      <c r="M8" s="33" t="s">
        <v>93</v>
      </c>
      <c r="N8" s="33"/>
      <c r="O8" s="33" t="s">
        <v>98</v>
      </c>
      <c r="P8" s="33"/>
    </row>
    <row r="9" spans="2:56" ht="45" x14ac:dyDescent="0.2">
      <c r="B9" s="44">
        <f t="shared" si="0"/>
        <v>4</v>
      </c>
      <c r="C9" s="33" t="s">
        <v>99</v>
      </c>
      <c r="D9" s="33" t="s">
        <v>100</v>
      </c>
      <c r="E9" s="36" t="s">
        <v>101</v>
      </c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</row>
    <row r="10" spans="2:56" ht="30.75" customHeight="1" x14ac:dyDescent="0.2">
      <c r="B10" s="44">
        <f t="shared" si="0"/>
        <v>5</v>
      </c>
      <c r="C10" s="33"/>
      <c r="D10" s="33" t="s">
        <v>102</v>
      </c>
      <c r="E10" s="36" t="s">
        <v>103</v>
      </c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2:56" ht="47.25" customHeight="1" x14ac:dyDescent="0.2">
      <c r="B11" s="44">
        <f t="shared" si="0"/>
        <v>6</v>
      </c>
      <c r="C11" s="33"/>
      <c r="D11" s="33" t="s">
        <v>104</v>
      </c>
      <c r="E11" s="36" t="s">
        <v>103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6"/>
    </row>
    <row r="12" spans="2:56" ht="30.75" customHeight="1" x14ac:dyDescent="0.2">
      <c r="B12" s="44">
        <f t="shared" si="0"/>
        <v>7</v>
      </c>
      <c r="C12" s="33" t="s">
        <v>105</v>
      </c>
      <c r="D12" s="33" t="s">
        <v>106</v>
      </c>
      <c r="E12" s="33" t="s">
        <v>107</v>
      </c>
      <c r="F12" s="33"/>
      <c r="G12" s="33"/>
      <c r="H12" s="33"/>
      <c r="I12" s="33"/>
      <c r="J12" s="33"/>
      <c r="K12" s="33" t="s">
        <v>108</v>
      </c>
      <c r="L12" s="33" t="s">
        <v>109</v>
      </c>
      <c r="M12" s="33" t="s">
        <v>93</v>
      </c>
      <c r="N12" s="33" t="s">
        <v>110</v>
      </c>
      <c r="O12" s="33" t="s">
        <v>110</v>
      </c>
      <c r="P12" s="33" t="s">
        <v>110</v>
      </c>
    </row>
    <row r="13" spans="2:56" ht="30.75" customHeight="1" x14ac:dyDescent="0.2">
      <c r="B13" s="44">
        <f t="shared" si="0"/>
        <v>8</v>
      </c>
      <c r="C13" s="33" t="s">
        <v>350</v>
      </c>
      <c r="D13" s="33" t="s">
        <v>111</v>
      </c>
      <c r="E13" s="33" t="s">
        <v>356</v>
      </c>
      <c r="F13" s="33"/>
      <c r="G13" s="33"/>
      <c r="H13" s="33"/>
      <c r="I13" s="33"/>
      <c r="J13" s="33"/>
      <c r="K13" s="33" t="s">
        <v>94</v>
      </c>
      <c r="L13" s="33" t="s">
        <v>355</v>
      </c>
      <c r="M13" s="33" t="s">
        <v>93</v>
      </c>
      <c r="N13" s="33" t="s">
        <v>111</v>
      </c>
      <c r="O13" s="33" t="s">
        <v>111</v>
      </c>
      <c r="P13" s="33" t="s">
        <v>353</v>
      </c>
    </row>
    <row r="14" spans="2:56" ht="30.75" customHeight="1" x14ac:dyDescent="0.2">
      <c r="B14" s="44">
        <f t="shared" si="0"/>
        <v>9</v>
      </c>
      <c r="C14" s="33" t="s">
        <v>112</v>
      </c>
      <c r="D14" s="33" t="s">
        <v>113</v>
      </c>
      <c r="E14" s="33" t="s">
        <v>107</v>
      </c>
      <c r="F14" s="33"/>
      <c r="G14" s="33"/>
      <c r="H14" s="33"/>
      <c r="I14" s="33"/>
      <c r="J14" s="33"/>
      <c r="K14" s="33" t="s">
        <v>108</v>
      </c>
      <c r="L14" s="33" t="s">
        <v>109</v>
      </c>
      <c r="M14" s="33" t="s">
        <v>93</v>
      </c>
      <c r="N14" s="33" t="s">
        <v>110</v>
      </c>
      <c r="O14" s="33" t="s">
        <v>114</v>
      </c>
      <c r="P14" s="33" t="s">
        <v>114</v>
      </c>
    </row>
    <row r="15" spans="2:56" ht="30.75" customHeight="1" x14ac:dyDescent="0.2">
      <c r="B15" s="44">
        <f t="shared" si="0"/>
        <v>10</v>
      </c>
      <c r="C15" s="33" t="s">
        <v>351</v>
      </c>
      <c r="D15" s="33" t="s">
        <v>115</v>
      </c>
      <c r="E15" s="33" t="s">
        <v>348</v>
      </c>
      <c r="F15" s="33"/>
      <c r="G15" s="33"/>
      <c r="H15" s="33"/>
      <c r="I15" s="33"/>
      <c r="J15" s="33"/>
      <c r="K15" s="33" t="s">
        <v>94</v>
      </c>
      <c r="L15" s="33" t="s">
        <v>355</v>
      </c>
      <c r="M15" s="33" t="s">
        <v>93</v>
      </c>
      <c r="N15" s="33" t="s">
        <v>116</v>
      </c>
      <c r="O15" s="33" t="s">
        <v>116</v>
      </c>
      <c r="P15" s="36" t="s">
        <v>354</v>
      </c>
    </row>
    <row r="16" spans="2:56" ht="30.75" customHeight="1" x14ac:dyDescent="0.2">
      <c r="B16" s="44">
        <f t="shared" si="0"/>
        <v>11</v>
      </c>
      <c r="C16" s="33" t="s">
        <v>117</v>
      </c>
      <c r="D16" s="33" t="s">
        <v>118</v>
      </c>
      <c r="E16" s="36" t="s">
        <v>352</v>
      </c>
      <c r="F16" s="33"/>
      <c r="G16" s="33"/>
      <c r="H16" s="33"/>
      <c r="I16" s="33"/>
      <c r="J16" s="33"/>
      <c r="K16" s="33" t="s">
        <v>119</v>
      </c>
      <c r="L16" s="33" t="s">
        <v>355</v>
      </c>
      <c r="M16" s="33" t="s">
        <v>93</v>
      </c>
      <c r="N16" s="33" t="s">
        <v>120</v>
      </c>
      <c r="O16" s="33"/>
      <c r="P16" s="36" t="s">
        <v>352</v>
      </c>
    </row>
    <row r="17" spans="2:16" ht="30.75" customHeight="1" x14ac:dyDescent="0.2">
      <c r="B17" s="44">
        <f t="shared" si="0"/>
        <v>12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</row>
    <row r="18" spans="2:16" ht="30.75" customHeight="1" x14ac:dyDescent="0.2">
      <c r="B18" s="44">
        <f t="shared" si="0"/>
        <v>13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</row>
  </sheetData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D20"/>
  <sheetViews>
    <sheetView showGridLines="0" zoomScale="70" zoomScaleNormal="70" workbookViewId="0">
      <pane ySplit="5" topLeftCell="A6" activePane="bottomLeft" state="frozen"/>
      <selection activeCell="P17" sqref="P17"/>
      <selection pane="bottomLeft" activeCell="C2" sqref="C2"/>
    </sheetView>
  </sheetViews>
  <sheetFormatPr defaultColWidth="10" defaultRowHeight="15" x14ac:dyDescent="0.2"/>
  <cols>
    <col min="1" max="1" width="4.453125" style="34" customWidth="1"/>
    <col min="2" max="2" width="10" style="34"/>
    <col min="3" max="3" width="21.453125" style="34" bestFit="1" customWidth="1"/>
    <col min="4" max="4" width="19.36328125" style="34" bestFit="1" customWidth="1"/>
    <col min="5" max="5" width="25.90625" style="34" bestFit="1" customWidth="1"/>
    <col min="6" max="7" width="9.36328125" style="34" bestFit="1" customWidth="1"/>
    <col min="8" max="8" width="13.36328125" style="34" bestFit="1" customWidth="1"/>
    <col min="9" max="9" width="11.6328125" style="34" bestFit="1" customWidth="1"/>
    <col min="10" max="10" width="10.453125" style="34" bestFit="1" customWidth="1"/>
    <col min="11" max="11" width="18.453125" style="34" customWidth="1"/>
    <col min="12" max="12" width="19" style="34" customWidth="1"/>
    <col min="13" max="13" width="14.08984375" style="34" bestFit="1" customWidth="1"/>
    <col min="14" max="14" width="23.90625" style="34" customWidth="1"/>
    <col min="15" max="15" width="20.90625" style="34" bestFit="1" customWidth="1"/>
    <col min="16" max="16" width="40" style="34" customWidth="1"/>
    <col min="17" max="16384" width="10" style="34"/>
  </cols>
  <sheetData>
    <row r="1" spans="2:56" s="29" customFormat="1" ht="13.5" customHeight="1" x14ac:dyDescent="0.2"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</row>
    <row r="2" spans="2:56" x14ac:dyDescent="0.2">
      <c r="B2" s="32" t="s">
        <v>65</v>
      </c>
      <c r="C2" s="33" t="s">
        <v>374</v>
      </c>
      <c r="D2" s="32" t="s">
        <v>66</v>
      </c>
      <c r="E2" s="33" t="s">
        <v>121</v>
      </c>
      <c r="M2" s="32" t="s">
        <v>67</v>
      </c>
      <c r="N2" s="33" t="s">
        <v>14</v>
      </c>
      <c r="O2" s="32" t="s">
        <v>68</v>
      </c>
      <c r="P2" s="33" t="s">
        <v>69</v>
      </c>
    </row>
    <row r="3" spans="2:56" x14ac:dyDescent="0.2">
      <c r="B3" s="32" t="s">
        <v>70</v>
      </c>
      <c r="C3" s="33" t="s">
        <v>122</v>
      </c>
      <c r="D3" s="32" t="s">
        <v>71</v>
      </c>
      <c r="E3" s="33" t="s">
        <v>123</v>
      </c>
      <c r="M3" s="32" t="s">
        <v>72</v>
      </c>
      <c r="N3" s="33" t="s">
        <v>73</v>
      </c>
      <c r="O3" s="32" t="s">
        <v>74</v>
      </c>
      <c r="P3" s="33" t="s">
        <v>75</v>
      </c>
    </row>
    <row r="5" spans="2:56" ht="25.5" customHeight="1" x14ac:dyDescent="0.2">
      <c r="B5" s="32" t="s">
        <v>76</v>
      </c>
      <c r="C5" s="32" t="s">
        <v>77</v>
      </c>
      <c r="D5" s="32" t="s">
        <v>78</v>
      </c>
      <c r="E5" s="32" t="s">
        <v>79</v>
      </c>
      <c r="F5" s="32" t="s">
        <v>80</v>
      </c>
      <c r="G5" s="32" t="s">
        <v>81</v>
      </c>
      <c r="H5" s="32" t="s">
        <v>82</v>
      </c>
      <c r="I5" s="32" t="s">
        <v>83</v>
      </c>
      <c r="J5" s="32" t="s">
        <v>84</v>
      </c>
      <c r="K5" s="32" t="s">
        <v>85</v>
      </c>
      <c r="L5" s="32" t="s">
        <v>86</v>
      </c>
      <c r="M5" s="32" t="s">
        <v>87</v>
      </c>
      <c r="N5" s="32" t="s">
        <v>88</v>
      </c>
      <c r="O5" s="32" t="s">
        <v>89</v>
      </c>
      <c r="P5" s="32" t="s">
        <v>90</v>
      </c>
    </row>
    <row r="6" spans="2:56" ht="30.75" customHeight="1" x14ac:dyDescent="0.2">
      <c r="B6" s="44">
        <f t="shared" ref="B6:B20" si="0">ROW()-5</f>
        <v>1</v>
      </c>
      <c r="C6" s="33" t="s">
        <v>124</v>
      </c>
      <c r="D6" s="33" t="s">
        <v>125</v>
      </c>
      <c r="E6" s="33" t="s">
        <v>126</v>
      </c>
      <c r="F6" s="33" t="s">
        <v>93</v>
      </c>
      <c r="G6" s="33"/>
      <c r="H6" s="33"/>
      <c r="I6" s="33"/>
      <c r="J6" s="33" t="s">
        <v>93</v>
      </c>
      <c r="K6" s="33" t="s">
        <v>94</v>
      </c>
      <c r="L6" s="33">
        <v>10</v>
      </c>
      <c r="M6" s="33" t="s">
        <v>93</v>
      </c>
      <c r="N6" s="33"/>
      <c r="O6" s="33">
        <v>1000000001</v>
      </c>
      <c r="P6" s="33"/>
    </row>
    <row r="7" spans="2:56" ht="30.75" customHeight="1" x14ac:dyDescent="0.2">
      <c r="B7" s="44">
        <f t="shared" si="0"/>
        <v>2</v>
      </c>
      <c r="C7" s="33" t="s">
        <v>127</v>
      </c>
      <c r="D7" s="33" t="s">
        <v>128</v>
      </c>
      <c r="E7" s="33" t="s">
        <v>129</v>
      </c>
      <c r="F7" s="33"/>
      <c r="G7" s="33"/>
      <c r="H7" s="33"/>
      <c r="I7" s="33"/>
      <c r="J7" s="33" t="s">
        <v>93</v>
      </c>
      <c r="K7" s="33" t="s">
        <v>94</v>
      </c>
      <c r="L7" s="33">
        <v>40</v>
      </c>
      <c r="M7" s="33" t="s">
        <v>93</v>
      </c>
      <c r="N7" s="33"/>
      <c r="O7" s="33" t="s">
        <v>98</v>
      </c>
      <c r="P7" s="33"/>
    </row>
    <row r="8" spans="2:56" ht="30.75" customHeight="1" x14ac:dyDescent="0.2">
      <c r="B8" s="44">
        <f t="shared" si="0"/>
        <v>3</v>
      </c>
      <c r="C8" s="33" t="s">
        <v>130</v>
      </c>
      <c r="D8" s="33" t="s">
        <v>131</v>
      </c>
      <c r="E8" s="33" t="s">
        <v>132</v>
      </c>
      <c r="F8" s="33"/>
      <c r="G8" s="33"/>
      <c r="H8" s="33"/>
      <c r="I8" s="33"/>
      <c r="J8" s="33" t="s">
        <v>93</v>
      </c>
      <c r="K8" s="33" t="s">
        <v>94</v>
      </c>
      <c r="L8" s="33">
        <v>40</v>
      </c>
      <c r="M8" s="33" t="s">
        <v>93</v>
      </c>
      <c r="N8" s="33"/>
      <c r="O8" s="33" t="s">
        <v>98</v>
      </c>
      <c r="P8" s="33"/>
    </row>
    <row r="9" spans="2:56" ht="30.75" customHeight="1" x14ac:dyDescent="0.2">
      <c r="B9" s="44">
        <f t="shared" si="0"/>
        <v>4</v>
      </c>
      <c r="C9" s="33" t="s">
        <v>133</v>
      </c>
      <c r="D9" s="33" t="s">
        <v>134</v>
      </c>
      <c r="E9" s="33" t="s">
        <v>135</v>
      </c>
      <c r="F9" s="33"/>
      <c r="G9" s="33"/>
      <c r="H9" s="33"/>
      <c r="I9" s="33"/>
      <c r="J9" s="33"/>
      <c r="K9" s="33" t="s">
        <v>108</v>
      </c>
      <c r="L9" s="33" t="s">
        <v>136</v>
      </c>
      <c r="M9" s="33"/>
      <c r="N9" s="33" t="s">
        <v>137</v>
      </c>
      <c r="O9" s="33" t="s">
        <v>138</v>
      </c>
      <c r="P9" s="33"/>
    </row>
    <row r="10" spans="2:56" ht="47.25" customHeight="1" x14ac:dyDescent="0.2">
      <c r="B10" s="44">
        <f t="shared" si="0"/>
        <v>5</v>
      </c>
      <c r="C10" s="33" t="s">
        <v>99</v>
      </c>
      <c r="D10" s="33" t="s">
        <v>100</v>
      </c>
      <c r="E10" s="36" t="s">
        <v>101</v>
      </c>
      <c r="F10" s="33"/>
      <c r="G10" s="33"/>
      <c r="H10" s="33"/>
      <c r="I10" s="33"/>
      <c r="J10" s="33"/>
      <c r="K10" s="33" t="s">
        <v>94</v>
      </c>
      <c r="L10" s="33" t="s">
        <v>139</v>
      </c>
      <c r="M10" s="33" t="s">
        <v>93</v>
      </c>
      <c r="N10" s="33" t="s">
        <v>120</v>
      </c>
      <c r="O10" s="33"/>
      <c r="P10" s="36" t="s">
        <v>140</v>
      </c>
    </row>
    <row r="11" spans="2:56" ht="30.75" customHeight="1" x14ac:dyDescent="0.2">
      <c r="B11" s="44">
        <f t="shared" si="0"/>
        <v>6</v>
      </c>
      <c r="C11" s="33" t="s">
        <v>141</v>
      </c>
      <c r="D11" s="33" t="s">
        <v>142</v>
      </c>
      <c r="E11" s="33" t="s">
        <v>142</v>
      </c>
      <c r="F11" s="33"/>
      <c r="G11" s="33"/>
      <c r="H11" s="33"/>
      <c r="I11" s="33"/>
      <c r="J11" s="33"/>
      <c r="K11" s="33" t="s">
        <v>94</v>
      </c>
      <c r="L11" s="33" t="s">
        <v>143</v>
      </c>
      <c r="M11" s="33"/>
      <c r="N11" s="33" t="s">
        <v>144</v>
      </c>
      <c r="O11" s="33"/>
      <c r="P11" s="33"/>
    </row>
    <row r="12" spans="2:56" ht="30.75" customHeight="1" x14ac:dyDescent="0.2">
      <c r="B12" s="44">
        <f t="shared" si="0"/>
        <v>7</v>
      </c>
      <c r="C12" s="33" t="s">
        <v>145</v>
      </c>
      <c r="D12" s="33" t="s">
        <v>146</v>
      </c>
      <c r="E12" s="33" t="s">
        <v>146</v>
      </c>
      <c r="F12" s="33"/>
      <c r="G12" s="33"/>
      <c r="H12" s="33"/>
      <c r="I12" s="33"/>
      <c r="J12" s="33"/>
      <c r="K12" s="33" t="s">
        <v>94</v>
      </c>
      <c r="L12" s="33">
        <v>40</v>
      </c>
      <c r="M12" s="33" t="s">
        <v>93</v>
      </c>
      <c r="N12" s="33"/>
      <c r="O12" s="33" t="s">
        <v>147</v>
      </c>
      <c r="P12" s="33" t="s">
        <v>148</v>
      </c>
    </row>
    <row r="13" spans="2:56" ht="30.75" customHeight="1" x14ac:dyDescent="0.2">
      <c r="B13" s="44">
        <f t="shared" si="0"/>
        <v>8</v>
      </c>
      <c r="C13" s="33" t="s">
        <v>149</v>
      </c>
      <c r="D13" s="33" t="s">
        <v>150</v>
      </c>
      <c r="E13" s="33" t="s">
        <v>151</v>
      </c>
      <c r="F13" s="33"/>
      <c r="G13" s="33"/>
      <c r="H13" s="33"/>
      <c r="I13" s="33"/>
      <c r="J13" s="33"/>
      <c r="K13" s="33" t="s">
        <v>108</v>
      </c>
      <c r="L13" s="33" t="s">
        <v>152</v>
      </c>
      <c r="M13" s="33" t="s">
        <v>93</v>
      </c>
      <c r="N13" s="33"/>
      <c r="O13" s="33"/>
      <c r="P13" s="33" t="s">
        <v>153</v>
      </c>
    </row>
    <row r="14" spans="2:56" ht="30.75" customHeight="1" x14ac:dyDescent="0.2">
      <c r="B14" s="44">
        <f t="shared" si="0"/>
        <v>9</v>
      </c>
      <c r="C14" s="33" t="s">
        <v>154</v>
      </c>
      <c r="D14" s="33" t="s">
        <v>155</v>
      </c>
      <c r="E14" s="33" t="s">
        <v>151</v>
      </c>
      <c r="F14" s="33"/>
      <c r="G14" s="33"/>
      <c r="H14" s="33"/>
      <c r="I14" s="33"/>
      <c r="J14" s="33"/>
      <c r="K14" s="33" t="s">
        <v>108</v>
      </c>
      <c r="L14" s="33" t="s">
        <v>152</v>
      </c>
      <c r="M14" s="33" t="s">
        <v>93</v>
      </c>
      <c r="N14" s="33" t="s">
        <v>156</v>
      </c>
      <c r="O14" s="33"/>
      <c r="P14" s="33"/>
    </row>
    <row r="15" spans="2:56" ht="30.75" customHeight="1" x14ac:dyDescent="0.2">
      <c r="B15" s="44">
        <f t="shared" si="0"/>
        <v>10</v>
      </c>
      <c r="C15" s="33" t="s">
        <v>157</v>
      </c>
      <c r="D15" s="33" t="s">
        <v>158</v>
      </c>
      <c r="E15" s="36" t="s">
        <v>159</v>
      </c>
      <c r="F15" s="33"/>
      <c r="G15" s="33"/>
      <c r="H15" s="33"/>
      <c r="I15" s="33"/>
      <c r="J15" s="33"/>
      <c r="K15" s="33" t="s">
        <v>94</v>
      </c>
      <c r="L15" s="33" t="s">
        <v>120</v>
      </c>
      <c r="M15" s="33" t="s">
        <v>93</v>
      </c>
      <c r="N15" s="33" t="s">
        <v>160</v>
      </c>
      <c r="O15" s="33"/>
      <c r="P15" s="33"/>
    </row>
    <row r="16" spans="2:56" ht="30.75" customHeight="1" x14ac:dyDescent="0.2">
      <c r="B16" s="44">
        <f t="shared" si="0"/>
        <v>11</v>
      </c>
      <c r="C16" s="33" t="s">
        <v>105</v>
      </c>
      <c r="D16" s="33" t="s">
        <v>106</v>
      </c>
      <c r="E16" s="33" t="s">
        <v>107</v>
      </c>
      <c r="F16" s="33"/>
      <c r="G16" s="33"/>
      <c r="H16" s="33"/>
      <c r="I16" s="33"/>
      <c r="J16" s="33"/>
      <c r="K16" s="33" t="s">
        <v>108</v>
      </c>
      <c r="L16" s="33" t="s">
        <v>109</v>
      </c>
      <c r="M16" s="33" t="s">
        <v>93</v>
      </c>
      <c r="N16" s="33" t="s">
        <v>110</v>
      </c>
      <c r="O16" s="33" t="s">
        <v>110</v>
      </c>
      <c r="P16" s="33" t="s">
        <v>110</v>
      </c>
    </row>
    <row r="17" spans="2:16" ht="30.75" customHeight="1" x14ac:dyDescent="0.2">
      <c r="B17" s="44">
        <f t="shared" si="0"/>
        <v>12</v>
      </c>
      <c r="C17" s="33" t="s">
        <v>350</v>
      </c>
      <c r="D17" s="33" t="s">
        <v>111</v>
      </c>
      <c r="E17" s="33" t="s">
        <v>356</v>
      </c>
      <c r="F17" s="33"/>
      <c r="G17" s="33"/>
      <c r="H17" s="33"/>
      <c r="I17" s="33"/>
      <c r="J17" s="33"/>
      <c r="K17" s="33" t="s">
        <v>94</v>
      </c>
      <c r="L17" s="33" t="s">
        <v>355</v>
      </c>
      <c r="M17" s="33" t="s">
        <v>93</v>
      </c>
      <c r="N17" s="33" t="s">
        <v>111</v>
      </c>
      <c r="O17" s="33" t="s">
        <v>111</v>
      </c>
      <c r="P17" s="33" t="s">
        <v>353</v>
      </c>
    </row>
    <row r="18" spans="2:16" x14ac:dyDescent="0.2">
      <c r="B18" s="44">
        <f t="shared" si="0"/>
        <v>13</v>
      </c>
      <c r="C18" s="33" t="s">
        <v>112</v>
      </c>
      <c r="D18" s="33" t="s">
        <v>113</v>
      </c>
      <c r="E18" s="33" t="s">
        <v>107</v>
      </c>
      <c r="F18" s="33"/>
      <c r="G18" s="33"/>
      <c r="H18" s="33"/>
      <c r="I18" s="33"/>
      <c r="J18" s="33"/>
      <c r="K18" s="33" t="s">
        <v>108</v>
      </c>
      <c r="L18" s="33" t="s">
        <v>109</v>
      </c>
      <c r="M18" s="33" t="s">
        <v>93</v>
      </c>
      <c r="N18" s="33" t="s">
        <v>110</v>
      </c>
      <c r="O18" s="33" t="s">
        <v>114</v>
      </c>
      <c r="P18" s="33" t="s">
        <v>114</v>
      </c>
    </row>
    <row r="19" spans="2:16" x14ac:dyDescent="0.2">
      <c r="B19" s="44">
        <f t="shared" si="0"/>
        <v>14</v>
      </c>
      <c r="C19" s="33" t="s">
        <v>351</v>
      </c>
      <c r="D19" s="33" t="s">
        <v>115</v>
      </c>
      <c r="E19" s="33" t="s">
        <v>348</v>
      </c>
      <c r="F19" s="33"/>
      <c r="G19" s="33"/>
      <c r="H19" s="33"/>
      <c r="I19" s="33"/>
      <c r="J19" s="33"/>
      <c r="K19" s="33" t="s">
        <v>94</v>
      </c>
      <c r="L19" s="33" t="s">
        <v>355</v>
      </c>
      <c r="M19" s="33" t="s">
        <v>93</v>
      </c>
      <c r="N19" s="33" t="s">
        <v>116</v>
      </c>
      <c r="O19" s="33" t="s">
        <v>116</v>
      </c>
      <c r="P19" s="36" t="s">
        <v>354</v>
      </c>
    </row>
    <row r="20" spans="2:16" ht="45" x14ac:dyDescent="0.2">
      <c r="B20" s="44">
        <f t="shared" si="0"/>
        <v>15</v>
      </c>
      <c r="C20" s="33" t="s">
        <v>117</v>
      </c>
      <c r="D20" s="33" t="s">
        <v>118</v>
      </c>
      <c r="E20" s="36" t="s">
        <v>352</v>
      </c>
      <c r="F20" s="33"/>
      <c r="G20" s="33"/>
      <c r="H20" s="33"/>
      <c r="I20" s="33"/>
      <c r="J20" s="33"/>
      <c r="K20" s="33" t="s">
        <v>119</v>
      </c>
      <c r="L20" s="33" t="s">
        <v>355</v>
      </c>
      <c r="M20" s="33" t="s">
        <v>93</v>
      </c>
      <c r="N20" s="33" t="s">
        <v>120</v>
      </c>
      <c r="O20" s="33"/>
      <c r="P20" s="36" t="s">
        <v>352</v>
      </c>
    </row>
  </sheetData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D17"/>
  <sheetViews>
    <sheetView showGridLines="0" zoomScale="85" zoomScaleNormal="85" workbookViewId="0">
      <pane ySplit="5" topLeftCell="A6" activePane="bottomLeft" state="frozen"/>
      <selection activeCell="P17" sqref="P17"/>
      <selection pane="bottomLeft" activeCell="A6" sqref="A6"/>
    </sheetView>
  </sheetViews>
  <sheetFormatPr defaultColWidth="10" defaultRowHeight="15" x14ac:dyDescent="0.2"/>
  <cols>
    <col min="1" max="1" width="4.453125" style="34" customWidth="1"/>
    <col min="2" max="2" width="9" style="34"/>
    <col min="3" max="3" width="21.453125" style="34" bestFit="1" customWidth="1"/>
    <col min="4" max="4" width="19.36328125" style="34" bestFit="1" customWidth="1"/>
    <col min="5" max="5" width="25.90625" style="34" bestFit="1" customWidth="1"/>
    <col min="6" max="7" width="9.36328125" style="34" bestFit="1" customWidth="1"/>
    <col min="8" max="8" width="13.36328125" style="34" bestFit="1" customWidth="1"/>
    <col min="9" max="9" width="11.6328125" style="34" bestFit="1" customWidth="1"/>
    <col min="10" max="10" width="10.453125" style="34" bestFit="1" customWidth="1"/>
    <col min="11" max="11" width="18.453125" style="34" customWidth="1"/>
    <col min="12" max="12" width="19" style="34" customWidth="1"/>
    <col min="13" max="13" width="14.08984375" style="34" bestFit="1" customWidth="1"/>
    <col min="14" max="14" width="23.90625" style="34" customWidth="1"/>
    <col min="15" max="15" width="20.90625" style="34" bestFit="1" customWidth="1"/>
    <col min="16" max="16" width="40" style="34" customWidth="1"/>
    <col min="17" max="16384" width="10" style="34"/>
  </cols>
  <sheetData>
    <row r="1" spans="2:56" s="29" customFormat="1" ht="13.5" customHeight="1" x14ac:dyDescent="0.2"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</row>
    <row r="2" spans="2:56" x14ac:dyDescent="0.2">
      <c r="B2" s="32" t="s">
        <v>65</v>
      </c>
      <c r="C2" s="33" t="s">
        <v>374</v>
      </c>
      <c r="D2" s="32" t="s">
        <v>66</v>
      </c>
      <c r="E2" s="33" t="s">
        <v>168</v>
      </c>
      <c r="M2" s="32" t="s">
        <v>67</v>
      </c>
      <c r="N2" s="33" t="s">
        <v>14</v>
      </c>
      <c r="O2" s="32" t="s">
        <v>68</v>
      </c>
      <c r="P2" s="33" t="s">
        <v>69</v>
      </c>
    </row>
    <row r="3" spans="2:56" x14ac:dyDescent="0.2">
      <c r="B3" s="32" t="s">
        <v>70</v>
      </c>
      <c r="C3" s="33" t="s">
        <v>122</v>
      </c>
      <c r="D3" s="32" t="s">
        <v>71</v>
      </c>
      <c r="E3" s="33" t="s">
        <v>169</v>
      </c>
      <c r="M3" s="32" t="s">
        <v>72</v>
      </c>
      <c r="N3" s="33" t="s">
        <v>73</v>
      </c>
      <c r="O3" s="32" t="s">
        <v>74</v>
      </c>
      <c r="P3" s="33" t="s">
        <v>75</v>
      </c>
    </row>
    <row r="5" spans="2:56" ht="25.5" customHeight="1" x14ac:dyDescent="0.2">
      <c r="B5" s="32" t="s">
        <v>76</v>
      </c>
      <c r="C5" s="32" t="s">
        <v>77</v>
      </c>
      <c r="D5" s="32" t="s">
        <v>78</v>
      </c>
      <c r="E5" s="32" t="s">
        <v>79</v>
      </c>
      <c r="F5" s="32" t="s">
        <v>80</v>
      </c>
      <c r="G5" s="32" t="s">
        <v>81</v>
      </c>
      <c r="H5" s="32" t="s">
        <v>82</v>
      </c>
      <c r="I5" s="32" t="s">
        <v>83</v>
      </c>
      <c r="J5" s="32" t="s">
        <v>84</v>
      </c>
      <c r="K5" s="32" t="s">
        <v>85</v>
      </c>
      <c r="L5" s="32" t="s">
        <v>86</v>
      </c>
      <c r="M5" s="32" t="s">
        <v>87</v>
      </c>
      <c r="N5" s="32" t="s">
        <v>88</v>
      </c>
      <c r="O5" s="32" t="s">
        <v>89</v>
      </c>
      <c r="P5" s="32" t="s">
        <v>90</v>
      </c>
    </row>
    <row r="6" spans="2:56" ht="30.75" customHeight="1" x14ac:dyDescent="0.2">
      <c r="B6" s="44">
        <f t="shared" ref="B6:B17" si="0">ROW()-5</f>
        <v>1</v>
      </c>
      <c r="C6" s="33"/>
      <c r="D6" s="33" t="s">
        <v>170</v>
      </c>
      <c r="E6" s="33"/>
      <c r="F6" s="33" t="s">
        <v>345</v>
      </c>
      <c r="G6" s="33"/>
      <c r="H6" s="33"/>
      <c r="I6" s="33"/>
      <c r="J6" s="33" t="s">
        <v>93</v>
      </c>
      <c r="K6" s="33" t="s">
        <v>94</v>
      </c>
      <c r="L6" s="33">
        <v>10</v>
      </c>
      <c r="M6" s="33" t="s">
        <v>93</v>
      </c>
      <c r="N6" s="33"/>
      <c r="O6" s="33">
        <v>1000000001</v>
      </c>
      <c r="P6" s="33"/>
    </row>
    <row r="7" spans="2:56" ht="30.75" customHeight="1" x14ac:dyDescent="0.2">
      <c r="B7" s="44">
        <f t="shared" si="0"/>
        <v>2</v>
      </c>
      <c r="C7" s="33"/>
      <c r="D7" s="33" t="s">
        <v>344</v>
      </c>
      <c r="E7" s="33"/>
      <c r="F7" s="33" t="s">
        <v>345</v>
      </c>
      <c r="G7" s="33"/>
      <c r="H7" s="33"/>
      <c r="I7" s="33"/>
      <c r="J7" s="33"/>
      <c r="K7" s="33" t="s">
        <v>94</v>
      </c>
      <c r="L7" s="33">
        <v>40</v>
      </c>
      <c r="M7" s="33" t="s">
        <v>93</v>
      </c>
      <c r="N7" s="33"/>
      <c r="O7" s="33" t="s">
        <v>98</v>
      </c>
      <c r="P7" s="33"/>
    </row>
    <row r="8" spans="2:56" ht="30.75" customHeight="1" x14ac:dyDescent="0.2">
      <c r="B8" s="44">
        <f t="shared" si="0"/>
        <v>3</v>
      </c>
      <c r="C8" s="33"/>
      <c r="D8" s="33" t="s">
        <v>170</v>
      </c>
      <c r="E8" s="33"/>
      <c r="F8" s="33"/>
      <c r="G8" s="33"/>
      <c r="H8" s="33"/>
      <c r="I8" s="33"/>
      <c r="J8" s="33"/>
      <c r="K8" s="33" t="s">
        <v>94</v>
      </c>
      <c r="L8" s="33">
        <v>40</v>
      </c>
      <c r="M8" s="33" t="s">
        <v>93</v>
      </c>
      <c r="N8" s="33"/>
      <c r="O8" s="33" t="s">
        <v>98</v>
      </c>
      <c r="P8" s="33"/>
    </row>
    <row r="9" spans="2:56" ht="30.75" customHeight="1" x14ac:dyDescent="0.2">
      <c r="B9" s="44">
        <f t="shared" si="0"/>
        <v>4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</row>
    <row r="10" spans="2:56" ht="47.25" customHeight="1" x14ac:dyDescent="0.2">
      <c r="B10" s="44">
        <f t="shared" si="0"/>
        <v>5</v>
      </c>
      <c r="C10" s="33"/>
      <c r="D10" s="33"/>
      <c r="E10" s="36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6"/>
    </row>
    <row r="11" spans="2:56" ht="30.75" customHeight="1" x14ac:dyDescent="0.2">
      <c r="B11" s="44">
        <f t="shared" si="0"/>
        <v>6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spans="2:56" ht="30.75" customHeight="1" x14ac:dyDescent="0.2">
      <c r="B12" s="44">
        <f t="shared" si="0"/>
        <v>7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</row>
    <row r="13" spans="2:56" ht="30.75" customHeight="1" x14ac:dyDescent="0.2">
      <c r="B13" s="44">
        <f t="shared" si="0"/>
        <v>8</v>
      </c>
      <c r="C13" s="33" t="s">
        <v>105</v>
      </c>
      <c r="D13" s="33" t="s">
        <v>106</v>
      </c>
      <c r="E13" s="33" t="s">
        <v>107</v>
      </c>
      <c r="F13" s="33"/>
      <c r="G13" s="33"/>
      <c r="H13" s="33"/>
      <c r="I13" s="33"/>
      <c r="J13" s="33"/>
      <c r="K13" s="33" t="s">
        <v>108</v>
      </c>
      <c r="L13" s="33" t="s">
        <v>109</v>
      </c>
      <c r="M13" s="33" t="s">
        <v>93</v>
      </c>
      <c r="N13" s="33" t="s">
        <v>110</v>
      </c>
      <c r="O13" s="33" t="s">
        <v>110</v>
      </c>
      <c r="P13" s="33" t="s">
        <v>110</v>
      </c>
    </row>
    <row r="14" spans="2:56" ht="30.75" customHeight="1" x14ac:dyDescent="0.2">
      <c r="B14" s="44">
        <f t="shared" si="0"/>
        <v>9</v>
      </c>
      <c r="C14" s="33" t="s">
        <v>350</v>
      </c>
      <c r="D14" s="33" t="s">
        <v>111</v>
      </c>
      <c r="E14" s="33" t="s">
        <v>356</v>
      </c>
      <c r="F14" s="33"/>
      <c r="G14" s="33"/>
      <c r="H14" s="33"/>
      <c r="I14" s="33"/>
      <c r="J14" s="33"/>
      <c r="K14" s="33" t="s">
        <v>94</v>
      </c>
      <c r="L14" s="33" t="s">
        <v>355</v>
      </c>
      <c r="M14" s="33" t="s">
        <v>93</v>
      </c>
      <c r="N14" s="33" t="s">
        <v>111</v>
      </c>
      <c r="O14" s="33" t="s">
        <v>111</v>
      </c>
      <c r="P14" s="33" t="s">
        <v>353</v>
      </c>
    </row>
    <row r="15" spans="2:56" ht="30.75" customHeight="1" x14ac:dyDescent="0.2">
      <c r="B15" s="44">
        <f t="shared" si="0"/>
        <v>10</v>
      </c>
      <c r="C15" s="33" t="s">
        <v>112</v>
      </c>
      <c r="D15" s="33" t="s">
        <v>113</v>
      </c>
      <c r="E15" s="33" t="s">
        <v>107</v>
      </c>
      <c r="F15" s="33"/>
      <c r="G15" s="33"/>
      <c r="H15" s="33"/>
      <c r="I15" s="33"/>
      <c r="J15" s="33"/>
      <c r="K15" s="33" t="s">
        <v>108</v>
      </c>
      <c r="L15" s="33" t="s">
        <v>109</v>
      </c>
      <c r="M15" s="33" t="s">
        <v>93</v>
      </c>
      <c r="N15" s="33" t="s">
        <v>110</v>
      </c>
      <c r="O15" s="33" t="s">
        <v>114</v>
      </c>
      <c r="P15" s="33" t="s">
        <v>114</v>
      </c>
    </row>
    <row r="16" spans="2:56" ht="30.75" customHeight="1" x14ac:dyDescent="0.2">
      <c r="B16" s="44">
        <f t="shared" si="0"/>
        <v>11</v>
      </c>
      <c r="C16" s="33" t="s">
        <v>351</v>
      </c>
      <c r="D16" s="33" t="s">
        <v>115</v>
      </c>
      <c r="E16" s="33" t="s">
        <v>348</v>
      </c>
      <c r="F16" s="33"/>
      <c r="G16" s="33"/>
      <c r="H16" s="33"/>
      <c r="I16" s="33"/>
      <c r="J16" s="33"/>
      <c r="K16" s="33" t="s">
        <v>94</v>
      </c>
      <c r="L16" s="33" t="s">
        <v>355</v>
      </c>
      <c r="M16" s="33" t="s">
        <v>93</v>
      </c>
      <c r="N16" s="33" t="s">
        <v>116</v>
      </c>
      <c r="O16" s="33" t="s">
        <v>116</v>
      </c>
      <c r="P16" s="36" t="s">
        <v>354</v>
      </c>
    </row>
    <row r="17" spans="2:16" ht="30.75" customHeight="1" x14ac:dyDescent="0.2">
      <c r="B17" s="44">
        <f t="shared" si="0"/>
        <v>12</v>
      </c>
      <c r="C17" s="33" t="s">
        <v>117</v>
      </c>
      <c r="D17" s="33" t="s">
        <v>118</v>
      </c>
      <c r="E17" s="36" t="s">
        <v>352</v>
      </c>
      <c r="F17" s="33"/>
      <c r="G17" s="33"/>
      <c r="H17" s="33"/>
      <c r="I17" s="33"/>
      <c r="J17" s="33"/>
      <c r="K17" s="33" t="s">
        <v>119</v>
      </c>
      <c r="L17" s="33" t="s">
        <v>355</v>
      </c>
      <c r="M17" s="33" t="s">
        <v>93</v>
      </c>
      <c r="N17" s="33" t="s">
        <v>120</v>
      </c>
      <c r="O17" s="33"/>
      <c r="P17" s="36" t="s">
        <v>352</v>
      </c>
    </row>
  </sheetData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/>
  <headerFooter>
    <oddFooter>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BD18"/>
  <sheetViews>
    <sheetView showGridLines="0" zoomScale="55" zoomScaleNormal="55" workbookViewId="0">
      <pane ySplit="5" topLeftCell="A6" activePane="bottomLeft" state="frozen"/>
      <selection activeCell="P17" sqref="P17"/>
      <selection pane="bottomLeft" activeCell="A6" sqref="A6"/>
    </sheetView>
  </sheetViews>
  <sheetFormatPr defaultColWidth="10" defaultRowHeight="15" x14ac:dyDescent="0.2"/>
  <cols>
    <col min="1" max="1" width="4.453125" style="34" customWidth="1"/>
    <col min="2" max="2" width="10" style="34"/>
    <col min="3" max="3" width="21.453125" style="34" bestFit="1" customWidth="1"/>
    <col min="4" max="4" width="19.36328125" style="34" bestFit="1" customWidth="1"/>
    <col min="5" max="5" width="25.90625" style="34" bestFit="1" customWidth="1"/>
    <col min="6" max="7" width="9.36328125" style="34" bestFit="1" customWidth="1"/>
    <col min="8" max="8" width="13.36328125" style="34" bestFit="1" customWidth="1"/>
    <col min="9" max="9" width="11.6328125" style="34" bestFit="1" customWidth="1"/>
    <col min="10" max="10" width="10.453125" style="34" bestFit="1" customWidth="1"/>
    <col min="11" max="11" width="18.453125" style="34" customWidth="1"/>
    <col min="12" max="12" width="19" style="34" customWidth="1"/>
    <col min="13" max="13" width="14.08984375" style="34" bestFit="1" customWidth="1"/>
    <col min="14" max="14" width="23.90625" style="34" customWidth="1"/>
    <col min="15" max="15" width="20.90625" style="34" bestFit="1" customWidth="1"/>
    <col min="16" max="16" width="40" style="34" customWidth="1"/>
    <col min="17" max="16384" width="10" style="34"/>
  </cols>
  <sheetData>
    <row r="1" spans="2:56" s="29" customFormat="1" ht="13.5" customHeight="1" x14ac:dyDescent="0.2"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</row>
    <row r="2" spans="2:56" x14ac:dyDescent="0.2">
      <c r="B2" s="32" t="s">
        <v>65</v>
      </c>
      <c r="C2" s="33" t="s">
        <v>374</v>
      </c>
      <c r="D2" s="32" t="s">
        <v>66</v>
      </c>
      <c r="E2" s="33" t="s">
        <v>161</v>
      </c>
      <c r="M2" s="32" t="s">
        <v>67</v>
      </c>
      <c r="N2" s="33" t="s">
        <v>14</v>
      </c>
      <c r="O2" s="32" t="s">
        <v>68</v>
      </c>
      <c r="P2" s="33" t="s">
        <v>69</v>
      </c>
    </row>
    <row r="3" spans="2:56" x14ac:dyDescent="0.2">
      <c r="B3" s="32" t="s">
        <v>70</v>
      </c>
      <c r="C3" s="33" t="s">
        <v>122</v>
      </c>
      <c r="D3" s="32" t="s">
        <v>71</v>
      </c>
      <c r="E3" s="33" t="s">
        <v>162</v>
      </c>
      <c r="M3" s="32" t="s">
        <v>72</v>
      </c>
      <c r="N3" s="33" t="s">
        <v>73</v>
      </c>
      <c r="O3" s="32" t="s">
        <v>74</v>
      </c>
      <c r="P3" s="33" t="s">
        <v>75</v>
      </c>
    </row>
    <row r="5" spans="2:56" ht="25.5" customHeight="1" x14ac:dyDescent="0.2">
      <c r="B5" s="32" t="s">
        <v>76</v>
      </c>
      <c r="C5" s="32" t="s">
        <v>77</v>
      </c>
      <c r="D5" s="32" t="s">
        <v>78</v>
      </c>
      <c r="E5" s="32" t="s">
        <v>79</v>
      </c>
      <c r="F5" s="32" t="s">
        <v>80</v>
      </c>
      <c r="G5" s="32" t="s">
        <v>81</v>
      </c>
      <c r="H5" s="32" t="s">
        <v>82</v>
      </c>
      <c r="I5" s="32" t="s">
        <v>83</v>
      </c>
      <c r="J5" s="32" t="s">
        <v>84</v>
      </c>
      <c r="K5" s="32" t="s">
        <v>85</v>
      </c>
      <c r="L5" s="32" t="s">
        <v>86</v>
      </c>
      <c r="M5" s="32" t="s">
        <v>87</v>
      </c>
      <c r="N5" s="32" t="s">
        <v>88</v>
      </c>
      <c r="O5" s="32" t="s">
        <v>89</v>
      </c>
      <c r="P5" s="32" t="s">
        <v>90</v>
      </c>
    </row>
    <row r="6" spans="2:56" ht="30.75" customHeight="1" x14ac:dyDescent="0.2">
      <c r="B6" s="44">
        <f t="shared" ref="B6:B18" si="0">ROW()-5</f>
        <v>1</v>
      </c>
      <c r="C6" s="33"/>
      <c r="D6" s="33" t="s">
        <v>163</v>
      </c>
      <c r="E6" s="33" t="s">
        <v>126</v>
      </c>
      <c r="F6" s="33" t="s">
        <v>93</v>
      </c>
      <c r="G6" s="33"/>
      <c r="H6" s="33"/>
      <c r="I6" s="33"/>
      <c r="J6" s="33"/>
      <c r="K6" s="33" t="s">
        <v>94</v>
      </c>
      <c r="L6" s="33">
        <v>10</v>
      </c>
      <c r="M6" s="33" t="s">
        <v>93</v>
      </c>
      <c r="N6" s="33"/>
      <c r="O6" s="33">
        <v>1000000001</v>
      </c>
      <c r="P6" s="33"/>
    </row>
    <row r="7" spans="2:56" ht="30.75" customHeight="1" x14ac:dyDescent="0.2">
      <c r="B7" s="44">
        <f t="shared" si="0"/>
        <v>2</v>
      </c>
      <c r="C7" s="33"/>
      <c r="D7" s="33" t="s">
        <v>164</v>
      </c>
      <c r="E7" s="33" t="s">
        <v>126</v>
      </c>
      <c r="F7" s="33" t="s">
        <v>93</v>
      </c>
      <c r="G7" s="33"/>
      <c r="H7" s="33"/>
      <c r="I7" s="33"/>
      <c r="J7" s="33"/>
      <c r="K7" s="33" t="s">
        <v>94</v>
      </c>
      <c r="L7" s="33">
        <v>10</v>
      </c>
      <c r="M7" s="33" t="s">
        <v>93</v>
      </c>
      <c r="N7" s="33"/>
      <c r="O7" s="33">
        <v>1000000001</v>
      </c>
      <c r="P7" s="33"/>
    </row>
    <row r="8" spans="2:56" ht="30.75" customHeight="1" x14ac:dyDescent="0.2">
      <c r="B8" s="44">
        <f t="shared" si="0"/>
        <v>3</v>
      </c>
      <c r="C8" s="33"/>
      <c r="D8" s="33" t="s">
        <v>165</v>
      </c>
      <c r="E8" s="33"/>
      <c r="F8" s="33"/>
      <c r="G8" s="33"/>
      <c r="H8" s="33"/>
      <c r="I8" s="33"/>
      <c r="J8" s="33"/>
      <c r="K8" s="33" t="s">
        <v>94</v>
      </c>
      <c r="L8" s="33">
        <v>40</v>
      </c>
      <c r="M8" s="33" t="s">
        <v>93</v>
      </c>
      <c r="N8" s="33"/>
      <c r="O8" s="33" t="s">
        <v>98</v>
      </c>
      <c r="P8" s="33"/>
    </row>
    <row r="9" spans="2:56" ht="30.75" customHeight="1" x14ac:dyDescent="0.2">
      <c r="B9" s="44">
        <f t="shared" si="0"/>
        <v>4</v>
      </c>
      <c r="C9" s="33"/>
      <c r="D9" s="33" t="s">
        <v>166</v>
      </c>
      <c r="E9" s="33"/>
      <c r="F9" s="33"/>
      <c r="G9" s="33"/>
      <c r="H9" s="33"/>
      <c r="I9" s="33"/>
      <c r="J9" s="33"/>
      <c r="K9" s="33" t="s">
        <v>94</v>
      </c>
      <c r="L9" s="33">
        <v>40</v>
      </c>
      <c r="M9" s="33" t="s">
        <v>93</v>
      </c>
      <c r="N9" s="33"/>
      <c r="O9" s="33" t="s">
        <v>98</v>
      </c>
      <c r="P9" s="33"/>
    </row>
    <row r="10" spans="2:56" ht="47.25" customHeight="1" x14ac:dyDescent="0.2">
      <c r="B10" s="44">
        <f t="shared" si="0"/>
        <v>5</v>
      </c>
      <c r="C10" s="33"/>
      <c r="D10" s="33" t="s">
        <v>167</v>
      </c>
      <c r="E10" s="33"/>
      <c r="F10" s="33"/>
      <c r="G10" s="33"/>
      <c r="H10" s="33"/>
      <c r="I10" s="33"/>
      <c r="J10" s="33"/>
      <c r="K10" s="33"/>
      <c r="L10" s="33"/>
      <c r="M10" s="33" t="s">
        <v>93</v>
      </c>
      <c r="N10" s="33"/>
      <c r="O10" s="33"/>
      <c r="P10" s="33"/>
    </row>
    <row r="11" spans="2:56" ht="30.75" customHeight="1" x14ac:dyDescent="0.2">
      <c r="B11" s="44">
        <f t="shared" si="0"/>
        <v>6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spans="2:56" ht="30.75" customHeight="1" x14ac:dyDescent="0.2">
      <c r="B12" s="44">
        <f t="shared" si="0"/>
        <v>7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</row>
    <row r="13" spans="2:56" ht="30.75" customHeight="1" x14ac:dyDescent="0.2">
      <c r="B13" s="44">
        <f t="shared" si="0"/>
        <v>8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</row>
    <row r="14" spans="2:56" ht="30.75" customHeight="1" x14ac:dyDescent="0.2">
      <c r="B14" s="44">
        <f t="shared" si="0"/>
        <v>9</v>
      </c>
      <c r="C14" s="33" t="s">
        <v>105</v>
      </c>
      <c r="D14" s="33" t="s">
        <v>106</v>
      </c>
      <c r="E14" s="33" t="s">
        <v>107</v>
      </c>
      <c r="F14" s="33"/>
      <c r="G14" s="33"/>
      <c r="H14" s="33"/>
      <c r="I14" s="33"/>
      <c r="J14" s="33"/>
      <c r="K14" s="33" t="s">
        <v>108</v>
      </c>
      <c r="L14" s="33" t="s">
        <v>109</v>
      </c>
      <c r="M14" s="33" t="s">
        <v>93</v>
      </c>
      <c r="N14" s="33" t="s">
        <v>110</v>
      </c>
      <c r="O14" s="33" t="s">
        <v>110</v>
      </c>
      <c r="P14" s="33" t="s">
        <v>110</v>
      </c>
    </row>
    <row r="15" spans="2:56" ht="30.75" customHeight="1" x14ac:dyDescent="0.2">
      <c r="B15" s="44">
        <f t="shared" si="0"/>
        <v>10</v>
      </c>
      <c r="C15" s="33" t="s">
        <v>350</v>
      </c>
      <c r="D15" s="33" t="s">
        <v>111</v>
      </c>
      <c r="E15" s="33" t="s">
        <v>356</v>
      </c>
      <c r="F15" s="33"/>
      <c r="G15" s="33"/>
      <c r="H15" s="33"/>
      <c r="I15" s="33"/>
      <c r="J15" s="33"/>
      <c r="K15" s="33" t="s">
        <v>94</v>
      </c>
      <c r="L15" s="33" t="s">
        <v>355</v>
      </c>
      <c r="M15" s="33" t="s">
        <v>93</v>
      </c>
      <c r="N15" s="33" t="s">
        <v>111</v>
      </c>
      <c r="O15" s="33" t="s">
        <v>111</v>
      </c>
      <c r="P15" s="33" t="s">
        <v>353</v>
      </c>
    </row>
    <row r="16" spans="2:56" ht="30.75" customHeight="1" x14ac:dyDescent="0.2">
      <c r="B16" s="44">
        <f t="shared" si="0"/>
        <v>11</v>
      </c>
      <c r="C16" s="33" t="s">
        <v>112</v>
      </c>
      <c r="D16" s="33" t="s">
        <v>113</v>
      </c>
      <c r="E16" s="33" t="s">
        <v>107</v>
      </c>
      <c r="F16" s="33"/>
      <c r="G16" s="33"/>
      <c r="H16" s="33"/>
      <c r="I16" s="33"/>
      <c r="J16" s="33"/>
      <c r="K16" s="33" t="s">
        <v>108</v>
      </c>
      <c r="L16" s="33" t="s">
        <v>109</v>
      </c>
      <c r="M16" s="33" t="s">
        <v>93</v>
      </c>
      <c r="N16" s="33" t="s">
        <v>110</v>
      </c>
      <c r="O16" s="33" t="s">
        <v>114</v>
      </c>
      <c r="P16" s="33" t="s">
        <v>114</v>
      </c>
    </row>
    <row r="17" spans="2:16" ht="30.75" customHeight="1" x14ac:dyDescent="0.2">
      <c r="B17" s="44">
        <f t="shared" si="0"/>
        <v>12</v>
      </c>
      <c r="C17" s="33" t="s">
        <v>351</v>
      </c>
      <c r="D17" s="33" t="s">
        <v>115</v>
      </c>
      <c r="E17" s="33" t="s">
        <v>348</v>
      </c>
      <c r="F17" s="33"/>
      <c r="G17" s="33"/>
      <c r="H17" s="33"/>
      <c r="I17" s="33"/>
      <c r="J17" s="33"/>
      <c r="K17" s="33" t="s">
        <v>94</v>
      </c>
      <c r="L17" s="33" t="s">
        <v>355</v>
      </c>
      <c r="M17" s="33" t="s">
        <v>93</v>
      </c>
      <c r="N17" s="33" t="s">
        <v>116</v>
      </c>
      <c r="O17" s="33" t="s">
        <v>116</v>
      </c>
      <c r="P17" s="36" t="s">
        <v>354</v>
      </c>
    </row>
    <row r="18" spans="2:16" ht="30.75" customHeight="1" x14ac:dyDescent="0.2">
      <c r="B18" s="44">
        <f t="shared" si="0"/>
        <v>13</v>
      </c>
      <c r="C18" s="33" t="s">
        <v>117</v>
      </c>
      <c r="D18" s="33" t="s">
        <v>118</v>
      </c>
      <c r="E18" s="36" t="s">
        <v>352</v>
      </c>
      <c r="F18" s="33"/>
      <c r="G18" s="33"/>
      <c r="H18" s="33"/>
      <c r="I18" s="33"/>
      <c r="J18" s="33"/>
      <c r="K18" s="33" t="s">
        <v>119</v>
      </c>
      <c r="L18" s="33" t="s">
        <v>355</v>
      </c>
      <c r="M18" s="33" t="s">
        <v>93</v>
      </c>
      <c r="N18" s="33" t="s">
        <v>120</v>
      </c>
      <c r="O18" s="33"/>
      <c r="P18" s="36" t="s">
        <v>352</v>
      </c>
    </row>
  </sheetData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BD17"/>
  <sheetViews>
    <sheetView showGridLines="0" zoomScale="55" zoomScaleNormal="55" workbookViewId="0">
      <pane ySplit="5" topLeftCell="A6" activePane="bottomLeft" state="frozen"/>
      <selection activeCell="P17" sqref="P17"/>
      <selection pane="bottomLeft" activeCell="A6" sqref="A6"/>
    </sheetView>
  </sheetViews>
  <sheetFormatPr defaultColWidth="10" defaultRowHeight="15" x14ac:dyDescent="0.2"/>
  <cols>
    <col min="1" max="1" width="4.453125" style="34" customWidth="1"/>
    <col min="2" max="2" width="9" style="34"/>
    <col min="3" max="3" width="21.453125" style="34" bestFit="1" customWidth="1"/>
    <col min="4" max="4" width="19.36328125" style="34" bestFit="1" customWidth="1"/>
    <col min="5" max="5" width="25.90625" style="34" bestFit="1" customWidth="1"/>
    <col min="6" max="7" width="9.36328125" style="34" bestFit="1" customWidth="1"/>
    <col min="8" max="8" width="13.36328125" style="34" bestFit="1" customWidth="1"/>
    <col min="9" max="9" width="11.6328125" style="34" bestFit="1" customWidth="1"/>
    <col min="10" max="10" width="10.453125" style="34" bestFit="1" customWidth="1"/>
    <col min="11" max="11" width="18.453125" style="34" customWidth="1"/>
    <col min="12" max="12" width="19" style="34" customWidth="1"/>
    <col min="13" max="13" width="14.08984375" style="34" bestFit="1" customWidth="1"/>
    <col min="14" max="14" width="23.90625" style="34" customWidth="1"/>
    <col min="15" max="15" width="20.90625" style="34" bestFit="1" customWidth="1"/>
    <col min="16" max="16" width="40" style="34" customWidth="1"/>
    <col min="17" max="16384" width="10" style="34"/>
  </cols>
  <sheetData>
    <row r="1" spans="2:56" s="29" customFormat="1" ht="13.5" customHeight="1" x14ac:dyDescent="0.2"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</row>
    <row r="2" spans="2:56" x14ac:dyDescent="0.2">
      <c r="B2" s="32" t="s">
        <v>65</v>
      </c>
      <c r="C2" s="33" t="s">
        <v>374</v>
      </c>
      <c r="D2" s="32" t="s">
        <v>66</v>
      </c>
      <c r="E2" s="33" t="s">
        <v>171</v>
      </c>
      <c r="M2" s="32" t="s">
        <v>67</v>
      </c>
      <c r="N2" s="33" t="s">
        <v>14</v>
      </c>
      <c r="O2" s="32" t="s">
        <v>68</v>
      </c>
      <c r="P2" s="33" t="s">
        <v>69</v>
      </c>
    </row>
    <row r="3" spans="2:56" x14ac:dyDescent="0.2">
      <c r="B3" s="32" t="s">
        <v>70</v>
      </c>
      <c r="C3" s="33" t="s">
        <v>122</v>
      </c>
      <c r="D3" s="32" t="s">
        <v>71</v>
      </c>
      <c r="E3" s="33" t="s">
        <v>172</v>
      </c>
      <c r="M3" s="32" t="s">
        <v>72</v>
      </c>
      <c r="N3" s="33" t="s">
        <v>73</v>
      </c>
      <c r="O3" s="32" t="s">
        <v>74</v>
      </c>
      <c r="P3" s="33" t="s">
        <v>75</v>
      </c>
    </row>
    <row r="5" spans="2:56" ht="25.5" customHeight="1" x14ac:dyDescent="0.2">
      <c r="B5" s="32" t="s">
        <v>76</v>
      </c>
      <c r="C5" s="32" t="s">
        <v>77</v>
      </c>
      <c r="D5" s="32" t="s">
        <v>78</v>
      </c>
      <c r="E5" s="32" t="s">
        <v>79</v>
      </c>
      <c r="F5" s="32" t="s">
        <v>80</v>
      </c>
      <c r="G5" s="32" t="s">
        <v>81</v>
      </c>
      <c r="H5" s="32" t="s">
        <v>82</v>
      </c>
      <c r="I5" s="32" t="s">
        <v>83</v>
      </c>
      <c r="J5" s="32" t="s">
        <v>84</v>
      </c>
      <c r="K5" s="32" t="s">
        <v>85</v>
      </c>
      <c r="L5" s="32" t="s">
        <v>86</v>
      </c>
      <c r="M5" s="32" t="s">
        <v>87</v>
      </c>
      <c r="N5" s="32" t="s">
        <v>88</v>
      </c>
      <c r="O5" s="32" t="s">
        <v>89</v>
      </c>
      <c r="P5" s="32" t="s">
        <v>90</v>
      </c>
    </row>
    <row r="6" spans="2:56" ht="30.75" customHeight="1" x14ac:dyDescent="0.2">
      <c r="B6" s="44">
        <f t="shared" ref="B6:B17" si="0">ROW()-5</f>
        <v>1</v>
      </c>
      <c r="C6" s="33"/>
      <c r="D6" s="33" t="s">
        <v>164</v>
      </c>
      <c r="E6" s="33" t="s">
        <v>126</v>
      </c>
      <c r="F6" s="33" t="s">
        <v>93</v>
      </c>
      <c r="G6" s="33"/>
      <c r="H6" s="33"/>
      <c r="I6" s="33"/>
      <c r="J6" s="33" t="s">
        <v>93</v>
      </c>
      <c r="K6" s="33" t="s">
        <v>94</v>
      </c>
      <c r="L6" s="33">
        <v>10</v>
      </c>
      <c r="M6" s="33" t="s">
        <v>93</v>
      </c>
      <c r="N6" s="33"/>
      <c r="O6" s="33">
        <v>1000000001</v>
      </c>
      <c r="P6" s="33"/>
    </row>
    <row r="7" spans="2:56" ht="30.75" customHeight="1" x14ac:dyDescent="0.2">
      <c r="B7" s="44">
        <f t="shared" si="0"/>
        <v>2</v>
      </c>
      <c r="C7" s="33"/>
      <c r="D7" s="33" t="s">
        <v>170</v>
      </c>
      <c r="E7" s="33"/>
      <c r="F7" s="33"/>
      <c r="G7" s="33"/>
      <c r="H7" s="33"/>
      <c r="I7" s="33"/>
      <c r="J7" s="33"/>
      <c r="K7" s="33" t="s">
        <v>94</v>
      </c>
      <c r="L7" s="33">
        <v>40</v>
      </c>
      <c r="M7" s="33" t="s">
        <v>93</v>
      </c>
      <c r="N7" s="33"/>
      <c r="O7" s="33" t="s">
        <v>98</v>
      </c>
      <c r="P7" s="33"/>
    </row>
    <row r="8" spans="2:56" ht="30.75" customHeight="1" x14ac:dyDescent="0.2">
      <c r="B8" s="44">
        <f t="shared" si="0"/>
        <v>3</v>
      </c>
      <c r="C8" s="33"/>
      <c r="D8" s="33" t="s">
        <v>170</v>
      </c>
      <c r="E8" s="33"/>
      <c r="F8" s="33"/>
      <c r="G8" s="33"/>
      <c r="H8" s="33"/>
      <c r="I8" s="33"/>
      <c r="J8" s="33"/>
      <c r="K8" s="33" t="s">
        <v>94</v>
      </c>
      <c r="L8" s="33">
        <v>40</v>
      </c>
      <c r="M8" s="33" t="s">
        <v>93</v>
      </c>
      <c r="N8" s="33"/>
      <c r="O8" s="33" t="s">
        <v>98</v>
      </c>
      <c r="P8" s="33"/>
    </row>
    <row r="9" spans="2:56" ht="30.75" customHeight="1" x14ac:dyDescent="0.2">
      <c r="B9" s="44">
        <f t="shared" si="0"/>
        <v>4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</row>
    <row r="10" spans="2:56" ht="47.25" customHeight="1" x14ac:dyDescent="0.2">
      <c r="B10" s="44">
        <f t="shared" si="0"/>
        <v>5</v>
      </c>
      <c r="C10" s="33"/>
      <c r="D10" s="33"/>
      <c r="E10" s="36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6"/>
    </row>
    <row r="11" spans="2:56" ht="30.75" customHeight="1" x14ac:dyDescent="0.2">
      <c r="B11" s="44">
        <f t="shared" si="0"/>
        <v>6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spans="2:56" ht="30.75" customHeight="1" x14ac:dyDescent="0.2">
      <c r="B12" s="44">
        <f t="shared" si="0"/>
        <v>7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</row>
    <row r="13" spans="2:56" ht="30.75" customHeight="1" x14ac:dyDescent="0.2">
      <c r="B13" s="44">
        <f t="shared" si="0"/>
        <v>8</v>
      </c>
      <c r="C13" s="33" t="s">
        <v>105</v>
      </c>
      <c r="D13" s="33" t="s">
        <v>106</v>
      </c>
      <c r="E13" s="33" t="s">
        <v>107</v>
      </c>
      <c r="F13" s="33"/>
      <c r="G13" s="33"/>
      <c r="H13" s="33"/>
      <c r="I13" s="33"/>
      <c r="J13" s="33"/>
      <c r="K13" s="33" t="s">
        <v>108</v>
      </c>
      <c r="L13" s="33" t="s">
        <v>109</v>
      </c>
      <c r="M13" s="33" t="s">
        <v>93</v>
      </c>
      <c r="N13" s="33" t="s">
        <v>110</v>
      </c>
      <c r="O13" s="33" t="s">
        <v>110</v>
      </c>
      <c r="P13" s="33" t="s">
        <v>110</v>
      </c>
    </row>
    <row r="14" spans="2:56" ht="30.75" customHeight="1" x14ac:dyDescent="0.2">
      <c r="B14" s="44">
        <f t="shared" si="0"/>
        <v>9</v>
      </c>
      <c r="C14" s="33" t="s">
        <v>350</v>
      </c>
      <c r="D14" s="33" t="s">
        <v>111</v>
      </c>
      <c r="E14" s="33" t="s">
        <v>356</v>
      </c>
      <c r="F14" s="33"/>
      <c r="G14" s="33"/>
      <c r="H14" s="33"/>
      <c r="I14" s="33"/>
      <c r="J14" s="33"/>
      <c r="K14" s="33" t="s">
        <v>94</v>
      </c>
      <c r="L14" s="33" t="s">
        <v>355</v>
      </c>
      <c r="M14" s="33" t="s">
        <v>93</v>
      </c>
      <c r="N14" s="33" t="s">
        <v>111</v>
      </c>
      <c r="O14" s="33" t="s">
        <v>111</v>
      </c>
      <c r="P14" s="33" t="s">
        <v>353</v>
      </c>
    </row>
    <row r="15" spans="2:56" ht="30.75" customHeight="1" x14ac:dyDescent="0.2">
      <c r="B15" s="44">
        <f t="shared" si="0"/>
        <v>10</v>
      </c>
      <c r="C15" s="33" t="s">
        <v>112</v>
      </c>
      <c r="D15" s="33" t="s">
        <v>113</v>
      </c>
      <c r="E15" s="33" t="s">
        <v>107</v>
      </c>
      <c r="F15" s="33"/>
      <c r="G15" s="33"/>
      <c r="H15" s="33"/>
      <c r="I15" s="33"/>
      <c r="J15" s="33"/>
      <c r="K15" s="33" t="s">
        <v>108</v>
      </c>
      <c r="L15" s="33" t="s">
        <v>109</v>
      </c>
      <c r="M15" s="33" t="s">
        <v>93</v>
      </c>
      <c r="N15" s="33" t="s">
        <v>110</v>
      </c>
      <c r="O15" s="33" t="s">
        <v>114</v>
      </c>
      <c r="P15" s="33" t="s">
        <v>114</v>
      </c>
    </row>
    <row r="16" spans="2:56" ht="30.75" customHeight="1" x14ac:dyDescent="0.2">
      <c r="B16" s="44">
        <f t="shared" si="0"/>
        <v>11</v>
      </c>
      <c r="C16" s="33" t="s">
        <v>351</v>
      </c>
      <c r="D16" s="33" t="s">
        <v>115</v>
      </c>
      <c r="E16" s="33" t="s">
        <v>348</v>
      </c>
      <c r="F16" s="33"/>
      <c r="G16" s="33"/>
      <c r="H16" s="33"/>
      <c r="I16" s="33"/>
      <c r="J16" s="33"/>
      <c r="K16" s="33" t="s">
        <v>94</v>
      </c>
      <c r="L16" s="33" t="s">
        <v>355</v>
      </c>
      <c r="M16" s="33" t="s">
        <v>93</v>
      </c>
      <c r="N16" s="33" t="s">
        <v>116</v>
      </c>
      <c r="O16" s="33" t="s">
        <v>116</v>
      </c>
      <c r="P16" s="36" t="s">
        <v>354</v>
      </c>
    </row>
    <row r="17" spans="2:16" ht="30.75" customHeight="1" x14ac:dyDescent="0.2">
      <c r="B17" s="44">
        <f t="shared" si="0"/>
        <v>12</v>
      </c>
      <c r="C17" s="33" t="s">
        <v>117</v>
      </c>
      <c r="D17" s="33" t="s">
        <v>118</v>
      </c>
      <c r="E17" s="36" t="s">
        <v>352</v>
      </c>
      <c r="F17" s="33"/>
      <c r="G17" s="33"/>
      <c r="H17" s="33"/>
      <c r="I17" s="33"/>
      <c r="J17" s="33"/>
      <c r="K17" s="33" t="s">
        <v>119</v>
      </c>
      <c r="L17" s="33" t="s">
        <v>355</v>
      </c>
      <c r="M17" s="33" t="s">
        <v>93</v>
      </c>
      <c r="N17" s="33" t="s">
        <v>120</v>
      </c>
      <c r="O17" s="33"/>
      <c r="P17" s="36" t="s">
        <v>352</v>
      </c>
    </row>
  </sheetData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/>
  <headerFooter>
    <oddFooter>&amp;P / &amp;N ページ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J35"/>
  <sheetViews>
    <sheetView workbookViewId="0"/>
  </sheetViews>
  <sheetFormatPr defaultRowHeight="13" x14ac:dyDescent="0.2"/>
  <cols>
    <col min="2" max="2" width="12" bestFit="1" customWidth="1"/>
    <col min="3" max="3" width="14.453125" customWidth="1"/>
    <col min="4" max="5" width="10.36328125" bestFit="1" customWidth="1"/>
  </cols>
  <sheetData>
    <row r="2" spans="2:5" x14ac:dyDescent="0.2">
      <c r="B2" t="s">
        <v>173</v>
      </c>
    </row>
    <row r="4" spans="2:5" x14ac:dyDescent="0.2">
      <c r="B4" t="s">
        <v>174</v>
      </c>
    </row>
    <row r="5" spans="2:5" x14ac:dyDescent="0.2">
      <c r="B5" t="s">
        <v>175</v>
      </c>
      <c r="C5" t="s">
        <v>176</v>
      </c>
      <c r="D5" t="s">
        <v>3</v>
      </c>
      <c r="E5" t="s">
        <v>177</v>
      </c>
    </row>
    <row r="6" spans="2:5" x14ac:dyDescent="0.2">
      <c r="B6" t="s">
        <v>178</v>
      </c>
      <c r="C6" t="s">
        <v>179</v>
      </c>
      <c r="D6" t="s">
        <v>180</v>
      </c>
      <c r="E6" s="35">
        <v>44430</v>
      </c>
    </row>
    <row r="9" spans="2:5" x14ac:dyDescent="0.2">
      <c r="B9" t="s">
        <v>181</v>
      </c>
    </row>
    <row r="10" spans="2:5" x14ac:dyDescent="0.2">
      <c r="B10" t="s">
        <v>175</v>
      </c>
      <c r="C10" t="s">
        <v>45</v>
      </c>
      <c r="D10" t="s">
        <v>182</v>
      </c>
    </row>
    <row r="11" spans="2:5" x14ac:dyDescent="0.2">
      <c r="B11" t="s">
        <v>178</v>
      </c>
      <c r="C11" t="s">
        <v>183</v>
      </c>
      <c r="D11">
        <v>4</v>
      </c>
    </row>
    <row r="14" spans="2:5" x14ac:dyDescent="0.2">
      <c r="B14" t="s">
        <v>184</v>
      </c>
    </row>
    <row r="15" spans="2:5" x14ac:dyDescent="0.2">
      <c r="B15" t="s">
        <v>185</v>
      </c>
      <c r="C15" t="s">
        <v>186</v>
      </c>
      <c r="D15" t="s">
        <v>177</v>
      </c>
    </row>
    <row r="16" spans="2:5" x14ac:dyDescent="0.2">
      <c r="B16" t="s">
        <v>180</v>
      </c>
      <c r="C16" t="s">
        <v>98</v>
      </c>
      <c r="D16" s="35">
        <v>44430</v>
      </c>
    </row>
    <row r="19" spans="2:4" x14ac:dyDescent="0.2">
      <c r="B19" t="s">
        <v>187</v>
      </c>
    </row>
    <row r="20" spans="2:4" x14ac:dyDescent="0.2">
      <c r="B20" t="s">
        <v>188</v>
      </c>
      <c r="C20" t="s">
        <v>189</v>
      </c>
      <c r="D20" t="s">
        <v>190</v>
      </c>
    </row>
    <row r="21" spans="2:4" x14ac:dyDescent="0.2">
      <c r="B21" t="s">
        <v>191</v>
      </c>
      <c r="C21" t="s">
        <v>192</v>
      </c>
      <c r="D21" t="s">
        <v>193</v>
      </c>
    </row>
    <row r="24" spans="2:4" x14ac:dyDescent="0.2">
      <c r="B24" t="s">
        <v>194</v>
      </c>
    </row>
    <row r="25" spans="2:4" x14ac:dyDescent="0.2">
      <c r="B25" t="s">
        <v>190</v>
      </c>
      <c r="C25" t="s">
        <v>195</v>
      </c>
    </row>
    <row r="26" spans="2:4" x14ac:dyDescent="0.2">
      <c r="B26" t="s">
        <v>193</v>
      </c>
      <c r="C26" t="s">
        <v>196</v>
      </c>
    </row>
    <row r="28" spans="2:4" x14ac:dyDescent="0.2">
      <c r="B28" t="s">
        <v>197</v>
      </c>
    </row>
    <row r="29" spans="2:4" x14ac:dyDescent="0.2">
      <c r="B29" t="s">
        <v>188</v>
      </c>
      <c r="C29" t="s">
        <v>52</v>
      </c>
      <c r="D29" t="s">
        <v>198</v>
      </c>
    </row>
    <row r="30" spans="2:4" x14ac:dyDescent="0.2">
      <c r="B30" t="s">
        <v>183</v>
      </c>
      <c r="C30" t="s">
        <v>199</v>
      </c>
    </row>
    <row r="33" spans="2:10" x14ac:dyDescent="0.2">
      <c r="B33" t="s">
        <v>200</v>
      </c>
    </row>
    <row r="34" spans="2:10" x14ac:dyDescent="0.2">
      <c r="B34" t="s">
        <v>52</v>
      </c>
      <c r="C34" t="s">
        <v>201</v>
      </c>
      <c r="D34" t="s">
        <v>202</v>
      </c>
      <c r="E34" t="s">
        <v>203</v>
      </c>
      <c r="F34" t="s">
        <v>204</v>
      </c>
      <c r="G34" t="s">
        <v>205</v>
      </c>
      <c r="H34" t="s">
        <v>206</v>
      </c>
      <c r="I34" t="s">
        <v>207</v>
      </c>
      <c r="J34" t="s">
        <v>208</v>
      </c>
    </row>
    <row r="35" spans="2:10" x14ac:dyDescent="0.2">
      <c r="B35" t="s">
        <v>199</v>
      </c>
    </row>
  </sheetData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BA54"/>
  <sheetViews>
    <sheetView showGridLines="0" zoomScaleNormal="100" workbookViewId="0">
      <selection activeCell="M32" sqref="M32"/>
    </sheetView>
  </sheetViews>
  <sheetFormatPr defaultColWidth="2.6328125" defaultRowHeight="13" x14ac:dyDescent="0.2"/>
  <cols>
    <col min="1" max="19" width="2.6328125" style="1"/>
    <col min="20" max="20" width="2.6328125" style="1" customWidth="1"/>
    <col min="21" max="16384" width="2.6328125" style="1"/>
  </cols>
  <sheetData>
    <row r="2" spans="2:53" ht="13.5" customHeight="1" x14ac:dyDescent="0.2">
      <c r="B2" s="46" t="s">
        <v>0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 t="s">
        <v>1</v>
      </c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 t="s">
        <v>2</v>
      </c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 t="s">
        <v>3</v>
      </c>
      <c r="AX2" s="46"/>
      <c r="AY2" s="46"/>
      <c r="AZ2" s="46"/>
      <c r="BA2" s="46"/>
    </row>
    <row r="3" spans="2:53" ht="13.5" customHeight="1" x14ac:dyDescent="0.2">
      <c r="B3" s="47" t="str">
        <f>表紙!B3</f>
        <v>テーブル定義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8" t="str">
        <f t="array" aca="1" ref="N3" ca="1">RIGHT(CELL("filename",A1),LEN(CELL("filename",A1))-FIND("]",CELL("filename",A1)))</f>
        <v>ER図</v>
      </c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 t="s">
        <v>6</v>
      </c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 t="s">
        <v>7</v>
      </c>
      <c r="AX3" s="47"/>
      <c r="AY3" s="47"/>
      <c r="AZ3" s="47"/>
      <c r="BA3" s="47"/>
    </row>
    <row r="4" spans="2:53" ht="13.5" customHeight="1" x14ac:dyDescent="0.2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</row>
    <row r="5" spans="2:53" ht="13.5" customHeight="1" x14ac:dyDescent="0.2">
      <c r="B5" s="46" t="s">
        <v>209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</row>
    <row r="6" spans="2:53" x14ac:dyDescent="0.2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4"/>
    </row>
    <row r="7" spans="2:53" x14ac:dyDescent="0.2">
      <c r="B7" s="5"/>
      <c r="BA7" s="6"/>
    </row>
    <row r="8" spans="2:53" x14ac:dyDescent="0.2">
      <c r="B8" s="5"/>
      <c r="C8" s="1" t="s">
        <v>210</v>
      </c>
      <c r="BA8" s="6"/>
    </row>
    <row r="9" spans="2:53" x14ac:dyDescent="0.2">
      <c r="B9" s="5"/>
      <c r="BA9" s="6"/>
    </row>
    <row r="10" spans="2:53" x14ac:dyDescent="0.2">
      <c r="B10" s="5"/>
      <c r="BA10" s="6"/>
    </row>
    <row r="11" spans="2:53" x14ac:dyDescent="0.2">
      <c r="B11" s="5"/>
      <c r="BA11" s="6"/>
    </row>
    <row r="12" spans="2:53" x14ac:dyDescent="0.2">
      <c r="B12" s="5"/>
      <c r="BA12" s="6"/>
    </row>
    <row r="13" spans="2:53" x14ac:dyDescent="0.2">
      <c r="B13" s="5"/>
      <c r="BA13" s="6"/>
    </row>
    <row r="14" spans="2:53" x14ac:dyDescent="0.2">
      <c r="B14" s="5"/>
      <c r="BA14" s="6"/>
    </row>
    <row r="15" spans="2:53" x14ac:dyDescent="0.2">
      <c r="B15" s="5"/>
      <c r="BA15" s="6"/>
    </row>
    <row r="16" spans="2:53" x14ac:dyDescent="0.2">
      <c r="B16" s="5"/>
      <c r="BA16" s="6"/>
    </row>
    <row r="17" spans="2:53" x14ac:dyDescent="0.2">
      <c r="B17" s="5"/>
      <c r="BA17" s="6"/>
    </row>
    <row r="18" spans="2:53" x14ac:dyDescent="0.2">
      <c r="B18" s="5"/>
      <c r="BA18" s="6"/>
    </row>
    <row r="19" spans="2:53" x14ac:dyDescent="0.2">
      <c r="B19" s="5"/>
      <c r="BA19" s="6"/>
    </row>
    <row r="20" spans="2:53" x14ac:dyDescent="0.2">
      <c r="B20" s="5"/>
      <c r="BA20" s="6"/>
    </row>
    <row r="21" spans="2:53" x14ac:dyDescent="0.2">
      <c r="B21" s="5"/>
      <c r="BA21" s="6"/>
    </row>
    <row r="22" spans="2:53" x14ac:dyDescent="0.2">
      <c r="B22" s="5"/>
      <c r="BA22" s="6"/>
    </row>
    <row r="23" spans="2:53" x14ac:dyDescent="0.2">
      <c r="B23" s="5"/>
      <c r="BA23" s="6"/>
    </row>
    <row r="24" spans="2:53" x14ac:dyDescent="0.2">
      <c r="B24" s="5"/>
      <c r="BA24" s="6"/>
    </row>
    <row r="25" spans="2:53" x14ac:dyDescent="0.2">
      <c r="B25" s="5"/>
      <c r="BA25" s="6"/>
    </row>
    <row r="26" spans="2:53" x14ac:dyDescent="0.2">
      <c r="B26" s="5"/>
      <c r="BA26" s="6"/>
    </row>
    <row r="27" spans="2:53" x14ac:dyDescent="0.2">
      <c r="B27" s="5"/>
      <c r="BA27" s="6"/>
    </row>
    <row r="28" spans="2:53" x14ac:dyDescent="0.2">
      <c r="B28" s="5"/>
      <c r="BA28" s="6"/>
    </row>
    <row r="29" spans="2:53" x14ac:dyDescent="0.2">
      <c r="B29" s="5"/>
      <c r="BA29" s="6"/>
    </row>
    <row r="30" spans="2:53" x14ac:dyDescent="0.2">
      <c r="B30" s="5"/>
      <c r="BA30" s="6"/>
    </row>
    <row r="31" spans="2:53" x14ac:dyDescent="0.2">
      <c r="B31" s="5"/>
      <c r="BA31" s="6"/>
    </row>
    <row r="32" spans="2:53" x14ac:dyDescent="0.2">
      <c r="B32" s="5"/>
      <c r="BA32" s="6"/>
    </row>
    <row r="33" spans="2:53" x14ac:dyDescent="0.2">
      <c r="B33" s="5"/>
      <c r="BA33" s="6"/>
    </row>
    <row r="34" spans="2:53" x14ac:dyDescent="0.2">
      <c r="B34" s="5"/>
      <c r="BA34" s="6"/>
    </row>
    <row r="35" spans="2:53" x14ac:dyDescent="0.2">
      <c r="B35" s="5"/>
      <c r="BA35" s="6"/>
    </row>
    <row r="36" spans="2:53" x14ac:dyDescent="0.2">
      <c r="B36" s="5"/>
      <c r="BA36" s="6"/>
    </row>
    <row r="37" spans="2:53" x14ac:dyDescent="0.2">
      <c r="B37" s="5"/>
      <c r="BA37" s="6"/>
    </row>
    <row r="38" spans="2:53" x14ac:dyDescent="0.2">
      <c r="B38" s="5"/>
      <c r="BA38" s="6"/>
    </row>
    <row r="39" spans="2:53" x14ac:dyDescent="0.2">
      <c r="B39" s="5"/>
      <c r="BA39" s="6"/>
    </row>
    <row r="40" spans="2:53" x14ac:dyDescent="0.2">
      <c r="B40" s="5"/>
      <c r="BA40" s="6"/>
    </row>
    <row r="41" spans="2:53" x14ac:dyDescent="0.2">
      <c r="B41" s="5"/>
      <c r="BA41" s="6"/>
    </row>
    <row r="42" spans="2:53" x14ac:dyDescent="0.2">
      <c r="B42" s="5"/>
      <c r="BA42" s="6"/>
    </row>
    <row r="43" spans="2:53" x14ac:dyDescent="0.2">
      <c r="B43" s="5"/>
      <c r="BA43" s="6"/>
    </row>
    <row r="44" spans="2:53" x14ac:dyDescent="0.2">
      <c r="B44" s="5"/>
      <c r="BA44" s="6"/>
    </row>
    <row r="45" spans="2:53" x14ac:dyDescent="0.2">
      <c r="B45" s="5"/>
      <c r="BA45" s="6"/>
    </row>
    <row r="46" spans="2:53" x14ac:dyDescent="0.2">
      <c r="B46" s="5"/>
      <c r="BA46" s="6"/>
    </row>
    <row r="47" spans="2:53" x14ac:dyDescent="0.2">
      <c r="B47" s="5"/>
      <c r="BA47" s="6"/>
    </row>
    <row r="48" spans="2:53" x14ac:dyDescent="0.2">
      <c r="B48" s="5"/>
      <c r="BA48" s="6"/>
    </row>
    <row r="49" spans="2:53" x14ac:dyDescent="0.2">
      <c r="B49" s="5"/>
      <c r="BA49" s="6"/>
    </row>
    <row r="50" spans="2:53" x14ac:dyDescent="0.2">
      <c r="B50" s="5"/>
      <c r="BA50" s="6"/>
    </row>
    <row r="51" spans="2:53" x14ac:dyDescent="0.2">
      <c r="B51" s="5"/>
      <c r="BA51" s="6"/>
    </row>
    <row r="52" spans="2:53" x14ac:dyDescent="0.2">
      <c r="B52" s="5"/>
      <c r="BA52" s="6"/>
    </row>
    <row r="53" spans="2:53" x14ac:dyDescent="0.2">
      <c r="B53" s="5"/>
      <c r="BA53" s="6"/>
    </row>
    <row r="54" spans="2:53" x14ac:dyDescent="0.2">
      <c r="B54" s="7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9"/>
    </row>
  </sheetData>
  <mergeCells count="9">
    <mergeCell ref="B5:BA5"/>
    <mergeCell ref="AD2:AV2"/>
    <mergeCell ref="AD3:AV3"/>
    <mergeCell ref="N3:AC3"/>
    <mergeCell ref="AW2:BA2"/>
    <mergeCell ref="AW3:BA3"/>
    <mergeCell ref="B2:M2"/>
    <mergeCell ref="N2:AC2"/>
    <mergeCell ref="B3:M3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BA59"/>
  <sheetViews>
    <sheetView showGridLines="0" zoomScaleNormal="100" workbookViewId="0">
      <selection activeCell="J16" sqref="J16:O16"/>
    </sheetView>
  </sheetViews>
  <sheetFormatPr defaultColWidth="2.6328125" defaultRowHeight="13" x14ac:dyDescent="0.2"/>
  <cols>
    <col min="1" max="19" width="2.6328125" style="1"/>
    <col min="20" max="20" width="2.6328125" style="1" customWidth="1"/>
    <col min="21" max="21" width="3.26953125" style="1" bestFit="1" customWidth="1"/>
    <col min="22" max="22" width="2.6328125" style="1"/>
    <col min="23" max="24" width="3.26953125" style="1" bestFit="1" customWidth="1"/>
    <col min="25" max="16384" width="2.6328125" style="1"/>
  </cols>
  <sheetData>
    <row r="2" spans="2:53" ht="13.5" customHeight="1" x14ac:dyDescent="0.2">
      <c r="B2" s="46" t="s">
        <v>0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 t="s">
        <v>1</v>
      </c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 t="s">
        <v>2</v>
      </c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 t="s">
        <v>3</v>
      </c>
      <c r="AX2" s="46"/>
      <c r="AY2" s="46"/>
      <c r="AZ2" s="46"/>
      <c r="BA2" s="46"/>
    </row>
    <row r="3" spans="2:53" ht="13.5" customHeight="1" x14ac:dyDescent="0.2">
      <c r="B3" s="47" t="str">
        <f>表紙!B3</f>
        <v>テーブル定義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8" t="str">
        <f t="array" aca="1" ref="N3" ca="1">RIGHT(CELL("filename",A1),LEN(CELL("filename",A1))-FIND("]",CELL("filename",A1)))</f>
        <v>データモデル(準備)</v>
      </c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 t="s">
        <v>6</v>
      </c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 t="s">
        <v>7</v>
      </c>
      <c r="AX3" s="47"/>
      <c r="AY3" s="47"/>
      <c r="AZ3" s="47"/>
      <c r="BA3" s="47"/>
    </row>
    <row r="4" spans="2:53" ht="13.5" customHeight="1" x14ac:dyDescent="0.2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</row>
    <row r="5" spans="2:53" ht="13.5" customHeight="1" x14ac:dyDescent="0.2">
      <c r="B5" s="46" t="s">
        <v>211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</row>
    <row r="6" spans="2:53" x14ac:dyDescent="0.2">
      <c r="B6" s="2" t="s">
        <v>212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4"/>
    </row>
    <row r="7" spans="2:53" x14ac:dyDescent="0.2">
      <c r="B7" s="5"/>
      <c r="C7" s="53" t="s">
        <v>22</v>
      </c>
      <c r="D7" s="54"/>
      <c r="E7" s="54"/>
      <c r="F7" s="54"/>
      <c r="G7" s="54"/>
      <c r="H7" s="55"/>
      <c r="J7" s="53"/>
      <c r="K7" s="54"/>
      <c r="L7" s="54"/>
      <c r="M7" s="54"/>
      <c r="N7" s="54"/>
      <c r="O7" s="55"/>
      <c r="BA7" s="6"/>
    </row>
    <row r="8" spans="2:53" x14ac:dyDescent="0.2">
      <c r="B8" s="5"/>
      <c r="C8" s="50" t="s">
        <v>213</v>
      </c>
      <c r="D8" s="51"/>
      <c r="E8" s="51"/>
      <c r="F8" s="51"/>
      <c r="G8" s="51"/>
      <c r="H8" s="52"/>
      <c r="J8" s="50"/>
      <c r="K8" s="51"/>
      <c r="L8" s="51"/>
      <c r="M8" s="51"/>
      <c r="N8" s="51"/>
      <c r="O8" s="52"/>
      <c r="BA8" s="6"/>
    </row>
    <row r="9" spans="2:53" x14ac:dyDescent="0.2">
      <c r="B9" s="5"/>
      <c r="C9" s="50" t="s">
        <v>214</v>
      </c>
      <c r="D9" s="51"/>
      <c r="E9" s="51"/>
      <c r="F9" s="51"/>
      <c r="G9" s="51"/>
      <c r="H9" s="52"/>
      <c r="J9" s="50"/>
      <c r="K9" s="51"/>
      <c r="L9" s="51"/>
      <c r="M9" s="51"/>
      <c r="N9" s="51"/>
      <c r="O9" s="52"/>
      <c r="BA9" s="6"/>
    </row>
    <row r="10" spans="2:53" x14ac:dyDescent="0.2">
      <c r="B10" s="5"/>
      <c r="C10" s="50"/>
      <c r="D10" s="51"/>
      <c r="E10" s="51"/>
      <c r="F10" s="51"/>
      <c r="G10" s="51"/>
      <c r="H10" s="52"/>
      <c r="J10" s="50"/>
      <c r="K10" s="51"/>
      <c r="L10" s="51"/>
      <c r="M10" s="51"/>
      <c r="N10" s="51"/>
      <c r="O10" s="52"/>
      <c r="BA10" s="6"/>
    </row>
    <row r="11" spans="2:53" x14ac:dyDescent="0.2">
      <c r="B11" s="5"/>
      <c r="C11" s="50"/>
      <c r="D11" s="51"/>
      <c r="E11" s="51"/>
      <c r="F11" s="51"/>
      <c r="G11" s="51"/>
      <c r="H11" s="52"/>
      <c r="J11" s="50"/>
      <c r="K11" s="51"/>
      <c r="L11" s="51"/>
      <c r="M11" s="51"/>
      <c r="N11" s="51"/>
      <c r="O11" s="52"/>
      <c r="BA11" s="6"/>
    </row>
    <row r="12" spans="2:53" x14ac:dyDescent="0.2">
      <c r="B12" s="5"/>
      <c r="C12" s="50"/>
      <c r="D12" s="51"/>
      <c r="E12" s="51"/>
      <c r="F12" s="51"/>
      <c r="G12" s="51"/>
      <c r="H12" s="52"/>
      <c r="J12" s="50"/>
      <c r="K12" s="51"/>
      <c r="L12" s="51"/>
      <c r="M12" s="51"/>
      <c r="N12" s="51"/>
      <c r="O12" s="52"/>
      <c r="BA12" s="6"/>
    </row>
    <row r="13" spans="2:53" x14ac:dyDescent="0.2">
      <c r="B13" s="5"/>
      <c r="C13" s="50"/>
      <c r="D13" s="51"/>
      <c r="E13" s="51"/>
      <c r="F13" s="51"/>
      <c r="G13" s="51"/>
      <c r="H13" s="52"/>
      <c r="J13" s="50"/>
      <c r="K13" s="51"/>
      <c r="L13" s="51"/>
      <c r="M13" s="51"/>
      <c r="N13" s="51"/>
      <c r="O13" s="52"/>
      <c r="BA13" s="6"/>
    </row>
    <row r="14" spans="2:53" x14ac:dyDescent="0.2">
      <c r="B14" s="5"/>
      <c r="BA14" s="6"/>
    </row>
    <row r="15" spans="2:53" x14ac:dyDescent="0.2">
      <c r="B15" s="5" t="s">
        <v>174</v>
      </c>
      <c r="BA15" s="6"/>
    </row>
    <row r="16" spans="2:53" x14ac:dyDescent="0.2">
      <c r="B16" s="5"/>
      <c r="C16" s="53" t="s">
        <v>215</v>
      </c>
      <c r="D16" s="54"/>
      <c r="E16" s="54"/>
      <c r="F16" s="54"/>
      <c r="G16" s="54"/>
      <c r="H16" s="55"/>
      <c r="J16" s="53" t="s">
        <v>216</v>
      </c>
      <c r="K16" s="54"/>
      <c r="L16" s="54"/>
      <c r="M16" s="54"/>
      <c r="N16" s="54"/>
      <c r="O16" s="55"/>
      <c r="Q16" s="53" t="s">
        <v>35</v>
      </c>
      <c r="R16" s="54"/>
      <c r="S16" s="54"/>
      <c r="T16" s="54"/>
      <c r="U16" s="54"/>
      <c r="V16" s="55"/>
      <c r="X16" s="53"/>
      <c r="Y16" s="54"/>
      <c r="Z16" s="54"/>
      <c r="AA16" s="54"/>
      <c r="AB16" s="54"/>
      <c r="AC16" s="55"/>
      <c r="BA16" s="6"/>
    </row>
    <row r="17" spans="2:53" x14ac:dyDescent="0.2">
      <c r="B17" s="5"/>
      <c r="C17" s="50" t="s">
        <v>217</v>
      </c>
      <c r="D17" s="51"/>
      <c r="E17" s="51"/>
      <c r="F17" s="51"/>
      <c r="G17" s="51"/>
      <c r="H17" s="52"/>
      <c r="J17" s="50" t="s">
        <v>217</v>
      </c>
      <c r="K17" s="51"/>
      <c r="L17" s="51"/>
      <c r="M17" s="51"/>
      <c r="N17" s="51"/>
      <c r="O17" s="52"/>
      <c r="Q17" s="50" t="s">
        <v>217</v>
      </c>
      <c r="R17" s="51"/>
      <c r="S17" s="51"/>
      <c r="T17" s="51"/>
      <c r="U17" s="51"/>
      <c r="V17" s="52"/>
      <c r="X17" s="50"/>
      <c r="Y17" s="51"/>
      <c r="Z17" s="51"/>
      <c r="AA17" s="51"/>
      <c r="AB17" s="51"/>
      <c r="AC17" s="52"/>
      <c r="BA17" s="6"/>
    </row>
    <row r="18" spans="2:53" x14ac:dyDescent="0.2">
      <c r="B18" s="5"/>
      <c r="C18" s="50" t="s">
        <v>218</v>
      </c>
      <c r="D18" s="51"/>
      <c r="E18" s="51"/>
      <c r="F18" s="51"/>
      <c r="G18" s="51"/>
      <c r="H18" s="52"/>
      <c r="J18" s="50" t="s">
        <v>213</v>
      </c>
      <c r="K18" s="51"/>
      <c r="L18" s="51"/>
      <c r="M18" s="51"/>
      <c r="N18" s="51"/>
      <c r="O18" s="52"/>
      <c r="Q18" s="50" t="s">
        <v>219</v>
      </c>
      <c r="R18" s="51"/>
      <c r="S18" s="51"/>
      <c r="T18" s="51"/>
      <c r="U18" s="51"/>
      <c r="V18" s="52"/>
      <c r="X18" s="50"/>
      <c r="Y18" s="51"/>
      <c r="Z18" s="51"/>
      <c r="AA18" s="51"/>
      <c r="AB18" s="51"/>
      <c r="AC18" s="52"/>
      <c r="BA18" s="6"/>
    </row>
    <row r="19" spans="2:53" x14ac:dyDescent="0.2">
      <c r="B19" s="5"/>
      <c r="C19" s="50" t="s">
        <v>176</v>
      </c>
      <c r="D19" s="51"/>
      <c r="E19" s="51"/>
      <c r="F19" s="51"/>
      <c r="G19" s="51"/>
      <c r="H19" s="52"/>
      <c r="J19" s="50"/>
      <c r="K19" s="51"/>
      <c r="L19" s="51"/>
      <c r="M19" s="51"/>
      <c r="N19" s="51"/>
      <c r="O19" s="52"/>
      <c r="Q19" s="50"/>
      <c r="R19" s="51"/>
      <c r="S19" s="51"/>
      <c r="T19" s="51"/>
      <c r="U19" s="51"/>
      <c r="V19" s="52"/>
      <c r="X19" s="50"/>
      <c r="Y19" s="51"/>
      <c r="Z19" s="51"/>
      <c r="AA19" s="51"/>
      <c r="AB19" s="51"/>
      <c r="AC19" s="52"/>
      <c r="BA19" s="6"/>
    </row>
    <row r="20" spans="2:53" x14ac:dyDescent="0.2">
      <c r="B20" s="5"/>
      <c r="C20" s="50"/>
      <c r="D20" s="51"/>
      <c r="E20" s="51"/>
      <c r="F20" s="51"/>
      <c r="G20" s="51"/>
      <c r="H20" s="52"/>
      <c r="J20" s="50"/>
      <c r="K20" s="51"/>
      <c r="L20" s="51"/>
      <c r="M20" s="51"/>
      <c r="N20" s="51"/>
      <c r="O20" s="52"/>
      <c r="Q20" s="50"/>
      <c r="R20" s="51"/>
      <c r="S20" s="51"/>
      <c r="T20" s="51"/>
      <c r="U20" s="51"/>
      <c r="V20" s="52"/>
      <c r="X20" s="50"/>
      <c r="Y20" s="51"/>
      <c r="Z20" s="51"/>
      <c r="AA20" s="51"/>
      <c r="AB20" s="51"/>
      <c r="AC20" s="52"/>
      <c r="BA20" s="6"/>
    </row>
    <row r="21" spans="2:53" x14ac:dyDescent="0.2">
      <c r="B21" s="5"/>
      <c r="C21" s="50"/>
      <c r="D21" s="51"/>
      <c r="E21" s="51"/>
      <c r="F21" s="51"/>
      <c r="G21" s="51"/>
      <c r="H21" s="52"/>
      <c r="J21" s="50"/>
      <c r="K21" s="51"/>
      <c r="L21" s="51"/>
      <c r="M21" s="51"/>
      <c r="N21" s="51"/>
      <c r="O21" s="52"/>
      <c r="Q21" s="50"/>
      <c r="R21" s="51"/>
      <c r="S21" s="51"/>
      <c r="T21" s="51"/>
      <c r="U21" s="51"/>
      <c r="V21" s="52"/>
      <c r="X21" s="50"/>
      <c r="Y21" s="51"/>
      <c r="Z21" s="51"/>
      <c r="AA21" s="51"/>
      <c r="AB21" s="51"/>
      <c r="AC21" s="52"/>
      <c r="BA21" s="6"/>
    </row>
    <row r="22" spans="2:53" x14ac:dyDescent="0.2">
      <c r="B22" s="5"/>
      <c r="C22" s="50"/>
      <c r="D22" s="51"/>
      <c r="E22" s="51"/>
      <c r="F22" s="51"/>
      <c r="G22" s="51"/>
      <c r="H22" s="52"/>
      <c r="J22" s="50"/>
      <c r="K22" s="51"/>
      <c r="L22" s="51"/>
      <c r="M22" s="51"/>
      <c r="N22" s="51"/>
      <c r="O22" s="52"/>
      <c r="Q22" s="50"/>
      <c r="R22" s="51"/>
      <c r="S22" s="51"/>
      <c r="T22" s="51"/>
      <c r="U22" s="51"/>
      <c r="V22" s="52"/>
      <c r="X22" s="50"/>
      <c r="Y22" s="51"/>
      <c r="Z22" s="51"/>
      <c r="AA22" s="51"/>
      <c r="AB22" s="51"/>
      <c r="AC22" s="52"/>
      <c r="BA22" s="6"/>
    </row>
    <row r="23" spans="2:53" x14ac:dyDescent="0.2">
      <c r="B23" s="5"/>
      <c r="BA23" s="6"/>
    </row>
    <row r="24" spans="2:53" x14ac:dyDescent="0.2">
      <c r="B24" s="5" t="s">
        <v>187</v>
      </c>
      <c r="BA24" s="6"/>
    </row>
    <row r="25" spans="2:53" x14ac:dyDescent="0.2">
      <c r="B25" s="5"/>
      <c r="C25" s="53" t="s">
        <v>220</v>
      </c>
      <c r="D25" s="54"/>
      <c r="E25" s="54"/>
      <c r="F25" s="54"/>
      <c r="G25" s="54"/>
      <c r="H25" s="55"/>
      <c r="J25" s="53" t="s">
        <v>221</v>
      </c>
      <c r="K25" s="54"/>
      <c r="L25" s="54"/>
      <c r="M25" s="54"/>
      <c r="N25" s="54"/>
      <c r="O25" s="55"/>
      <c r="Q25" s="53" t="s">
        <v>222</v>
      </c>
      <c r="R25" s="54"/>
      <c r="S25" s="54"/>
      <c r="T25" s="54"/>
      <c r="U25" s="54"/>
      <c r="V25" s="55"/>
      <c r="X25" s="53" t="s">
        <v>223</v>
      </c>
      <c r="Y25" s="54"/>
      <c r="Z25" s="54"/>
      <c r="AA25" s="54"/>
      <c r="AB25" s="54"/>
      <c r="AC25" s="55"/>
      <c r="BA25" s="6"/>
    </row>
    <row r="26" spans="2:53" x14ac:dyDescent="0.2">
      <c r="B26" s="5"/>
      <c r="C26" s="50" t="s">
        <v>219</v>
      </c>
      <c r="D26" s="51"/>
      <c r="E26" s="51"/>
      <c r="F26" s="51"/>
      <c r="G26" s="51"/>
      <c r="H26" s="52"/>
      <c r="J26" s="50" t="s">
        <v>219</v>
      </c>
      <c r="K26" s="51"/>
      <c r="L26" s="51"/>
      <c r="M26" s="51"/>
      <c r="N26" s="51"/>
      <c r="O26" s="52"/>
      <c r="Q26" s="50" t="s">
        <v>224</v>
      </c>
      <c r="R26" s="51"/>
      <c r="S26" s="51"/>
      <c r="T26" s="51"/>
      <c r="U26" s="51"/>
      <c r="V26" s="52"/>
      <c r="X26" s="50" t="s">
        <v>225</v>
      </c>
      <c r="Y26" s="51"/>
      <c r="Z26" s="51"/>
      <c r="AA26" s="51"/>
      <c r="AB26" s="51"/>
      <c r="AC26" s="52"/>
      <c r="BA26" s="6"/>
    </row>
    <row r="27" spans="2:53" x14ac:dyDescent="0.2">
      <c r="B27" s="5"/>
      <c r="C27" s="50" t="s">
        <v>189</v>
      </c>
      <c r="D27" s="51"/>
      <c r="E27" s="51"/>
      <c r="F27" s="51"/>
      <c r="G27" s="51"/>
      <c r="H27" s="52"/>
      <c r="J27" s="50" t="s">
        <v>224</v>
      </c>
      <c r="K27" s="51"/>
      <c r="L27" s="51"/>
      <c r="M27" s="51"/>
      <c r="N27" s="51"/>
      <c r="O27" s="52"/>
      <c r="Q27" s="50" t="s">
        <v>226</v>
      </c>
      <c r="R27" s="51"/>
      <c r="S27" s="51"/>
      <c r="T27" s="51"/>
      <c r="U27" s="51"/>
      <c r="V27" s="52"/>
      <c r="X27" s="50" t="s">
        <v>219</v>
      </c>
      <c r="Y27" s="51"/>
      <c r="Z27" s="51"/>
      <c r="AA27" s="51"/>
      <c r="AB27" s="51"/>
      <c r="AC27" s="52"/>
      <c r="BA27" s="6"/>
    </row>
    <row r="28" spans="2:53" x14ac:dyDescent="0.2">
      <c r="B28" s="5"/>
      <c r="C28" s="50" t="s">
        <v>227</v>
      </c>
      <c r="D28" s="51"/>
      <c r="E28" s="51"/>
      <c r="F28" s="51"/>
      <c r="G28" s="51"/>
      <c r="H28" s="52"/>
      <c r="J28" s="50" t="s">
        <v>228</v>
      </c>
      <c r="K28" s="51"/>
      <c r="L28" s="51"/>
      <c r="M28" s="51"/>
      <c r="N28" s="51"/>
      <c r="O28" s="52"/>
      <c r="Q28" s="50" t="s">
        <v>228</v>
      </c>
      <c r="R28" s="51"/>
      <c r="S28" s="51"/>
      <c r="T28" s="51"/>
      <c r="U28" s="51"/>
      <c r="V28" s="52"/>
      <c r="X28" s="50" t="s">
        <v>229</v>
      </c>
      <c r="Y28" s="51"/>
      <c r="Z28" s="51"/>
      <c r="AA28" s="51"/>
      <c r="AB28" s="51"/>
      <c r="AC28" s="52"/>
      <c r="BA28" s="6"/>
    </row>
    <row r="29" spans="2:53" x14ac:dyDescent="0.2">
      <c r="B29" s="5"/>
      <c r="C29" s="50" t="s">
        <v>230</v>
      </c>
      <c r="D29" s="51"/>
      <c r="E29" s="51"/>
      <c r="F29" s="51"/>
      <c r="G29" s="51"/>
      <c r="H29" s="52"/>
      <c r="J29" s="50"/>
      <c r="K29" s="51"/>
      <c r="L29" s="51"/>
      <c r="M29" s="51"/>
      <c r="N29" s="51"/>
      <c r="O29" s="52"/>
      <c r="Q29" s="50" t="s">
        <v>231</v>
      </c>
      <c r="R29" s="51"/>
      <c r="S29" s="51"/>
      <c r="T29" s="51"/>
      <c r="U29" s="51"/>
      <c r="V29" s="52"/>
      <c r="X29" s="50" t="s">
        <v>232</v>
      </c>
      <c r="Y29" s="51"/>
      <c r="Z29" s="51"/>
      <c r="AA29" s="51"/>
      <c r="AB29" s="51"/>
      <c r="AC29" s="52"/>
      <c r="BA29" s="6"/>
    </row>
    <row r="30" spans="2:53" x14ac:dyDescent="0.2">
      <c r="B30" s="5"/>
      <c r="C30" s="50" t="s">
        <v>233</v>
      </c>
      <c r="D30" s="51"/>
      <c r="E30" s="51"/>
      <c r="F30" s="51"/>
      <c r="G30" s="51"/>
      <c r="H30" s="52"/>
      <c r="J30" s="50"/>
      <c r="K30" s="51"/>
      <c r="L30" s="51"/>
      <c r="M30" s="51"/>
      <c r="N30" s="51"/>
      <c r="O30" s="52"/>
      <c r="Q30" s="50" t="s">
        <v>234</v>
      </c>
      <c r="R30" s="51"/>
      <c r="S30" s="51"/>
      <c r="T30" s="51"/>
      <c r="U30" s="51"/>
      <c r="V30" s="52"/>
      <c r="X30" s="50" t="s">
        <v>235</v>
      </c>
      <c r="Y30" s="51"/>
      <c r="Z30" s="51"/>
      <c r="AA30" s="51"/>
      <c r="AB30" s="51"/>
      <c r="AC30" s="52"/>
      <c r="BA30" s="6"/>
    </row>
    <row r="31" spans="2:53" x14ac:dyDescent="0.2">
      <c r="B31" s="5"/>
      <c r="C31" s="50"/>
      <c r="D31" s="51"/>
      <c r="E31" s="51"/>
      <c r="F31" s="51"/>
      <c r="G31" s="51"/>
      <c r="H31" s="52"/>
      <c r="J31" s="50"/>
      <c r="K31" s="51"/>
      <c r="L31" s="51"/>
      <c r="M31" s="51"/>
      <c r="N31" s="51"/>
      <c r="O31" s="52"/>
      <c r="Q31" s="50" t="s">
        <v>236</v>
      </c>
      <c r="R31" s="51"/>
      <c r="S31" s="51"/>
      <c r="T31" s="51"/>
      <c r="U31" s="51"/>
      <c r="V31" s="52"/>
      <c r="X31" s="50"/>
      <c r="Y31" s="51"/>
      <c r="Z31" s="51"/>
      <c r="AA31" s="51"/>
      <c r="AB31" s="51"/>
      <c r="AC31" s="52"/>
      <c r="BA31" s="6"/>
    </row>
    <row r="32" spans="2:53" x14ac:dyDescent="0.2">
      <c r="B32" s="5"/>
      <c r="Q32" s="50" t="s">
        <v>237</v>
      </c>
      <c r="R32" s="51"/>
      <c r="S32" s="51"/>
      <c r="T32" s="51"/>
      <c r="U32" s="51"/>
      <c r="V32" s="52"/>
      <c r="BA32" s="6"/>
    </row>
    <row r="33" spans="2:53" x14ac:dyDescent="0.2">
      <c r="B33" s="5" t="s">
        <v>238</v>
      </c>
      <c r="BA33" s="6"/>
    </row>
    <row r="34" spans="2:53" x14ac:dyDescent="0.2">
      <c r="B34" s="5"/>
      <c r="C34" s="53" t="s">
        <v>239</v>
      </c>
      <c r="D34" s="54"/>
      <c r="E34" s="54"/>
      <c r="F34" s="54"/>
      <c r="G34" s="54"/>
      <c r="H34" s="55"/>
      <c r="J34" s="53" t="s">
        <v>240</v>
      </c>
      <c r="K34" s="54"/>
      <c r="L34" s="54"/>
      <c r="M34" s="54"/>
      <c r="N34" s="54"/>
      <c r="O34" s="55"/>
      <c r="Q34" s="53" t="s">
        <v>241</v>
      </c>
      <c r="R34" s="54"/>
      <c r="S34" s="54"/>
      <c r="T34" s="54"/>
      <c r="U34" s="54"/>
      <c r="V34" s="55"/>
      <c r="X34" s="53"/>
      <c r="Y34" s="54"/>
      <c r="Z34" s="54"/>
      <c r="AA34" s="54"/>
      <c r="AB34" s="54"/>
      <c r="AC34" s="55"/>
      <c r="AE34" s="53"/>
      <c r="AF34" s="54"/>
      <c r="AG34" s="54"/>
      <c r="AH34" s="54"/>
      <c r="AI34" s="54"/>
      <c r="AJ34" s="55"/>
      <c r="BA34" s="6"/>
    </row>
    <row r="35" spans="2:53" x14ac:dyDescent="0.2">
      <c r="B35" s="5"/>
      <c r="C35" s="50" t="s">
        <v>242</v>
      </c>
      <c r="D35" s="51"/>
      <c r="E35" s="51"/>
      <c r="F35" s="51"/>
      <c r="G35" s="51"/>
      <c r="H35" s="52"/>
      <c r="J35" s="50" t="s">
        <v>243</v>
      </c>
      <c r="K35" s="51"/>
      <c r="L35" s="51"/>
      <c r="M35" s="51"/>
      <c r="N35" s="51"/>
      <c r="O35" s="52"/>
      <c r="Q35" s="50" t="s">
        <v>244</v>
      </c>
      <c r="R35" s="51"/>
      <c r="S35" s="51"/>
      <c r="T35" s="51"/>
      <c r="U35" s="51"/>
      <c r="V35" s="52"/>
      <c r="X35" s="50"/>
      <c r="Y35" s="51"/>
      <c r="Z35" s="51"/>
      <c r="AA35" s="51"/>
      <c r="AB35" s="51"/>
      <c r="AC35" s="52"/>
      <c r="AE35" s="50"/>
      <c r="AF35" s="51"/>
      <c r="AG35" s="51"/>
      <c r="AH35" s="51"/>
      <c r="AI35" s="51"/>
      <c r="AJ35" s="52"/>
      <c r="BA35" s="6"/>
    </row>
    <row r="36" spans="2:53" x14ac:dyDescent="0.2">
      <c r="B36" s="5"/>
      <c r="C36" s="50" t="s">
        <v>245</v>
      </c>
      <c r="D36" s="51"/>
      <c r="E36" s="51"/>
      <c r="F36" s="51"/>
      <c r="G36" s="51"/>
      <c r="H36" s="52"/>
      <c r="J36" s="50" t="s">
        <v>246</v>
      </c>
      <c r="K36" s="51"/>
      <c r="L36" s="51"/>
      <c r="M36" s="51"/>
      <c r="N36" s="51"/>
      <c r="O36" s="52"/>
      <c r="Q36" s="50" t="s">
        <v>247</v>
      </c>
      <c r="R36" s="51"/>
      <c r="S36" s="51"/>
      <c r="T36" s="51"/>
      <c r="U36" s="51"/>
      <c r="V36" s="52"/>
      <c r="X36" s="50"/>
      <c r="Y36" s="51"/>
      <c r="Z36" s="51"/>
      <c r="AA36" s="51"/>
      <c r="AB36" s="51"/>
      <c r="AC36" s="52"/>
      <c r="AE36" s="50"/>
      <c r="AF36" s="51"/>
      <c r="AG36" s="51"/>
      <c r="AH36" s="51"/>
      <c r="AI36" s="51"/>
      <c r="AJ36" s="52"/>
      <c r="BA36" s="6"/>
    </row>
    <row r="37" spans="2:53" x14ac:dyDescent="0.2">
      <c r="B37" s="5"/>
      <c r="C37" s="50"/>
      <c r="D37" s="51"/>
      <c r="E37" s="51"/>
      <c r="F37" s="51"/>
      <c r="G37" s="51"/>
      <c r="H37" s="52"/>
      <c r="J37" s="50"/>
      <c r="K37" s="51"/>
      <c r="L37" s="51"/>
      <c r="M37" s="51"/>
      <c r="N37" s="51"/>
      <c r="O37" s="52"/>
      <c r="Q37" s="50"/>
      <c r="R37" s="51"/>
      <c r="S37" s="51"/>
      <c r="T37" s="51"/>
      <c r="U37" s="51"/>
      <c r="V37" s="52"/>
      <c r="X37" s="50"/>
      <c r="Y37" s="51"/>
      <c r="Z37" s="51"/>
      <c r="AA37" s="51"/>
      <c r="AB37" s="51"/>
      <c r="AC37" s="52"/>
      <c r="AE37" s="50"/>
      <c r="AF37" s="51"/>
      <c r="AG37" s="51"/>
      <c r="AH37" s="51"/>
      <c r="AI37" s="51"/>
      <c r="AJ37" s="52"/>
      <c r="BA37" s="6"/>
    </row>
    <row r="38" spans="2:53" x14ac:dyDescent="0.2">
      <c r="B38" s="5"/>
      <c r="C38" s="50"/>
      <c r="D38" s="51"/>
      <c r="E38" s="51"/>
      <c r="F38" s="51"/>
      <c r="G38" s="51"/>
      <c r="H38" s="52"/>
      <c r="J38" s="50"/>
      <c r="K38" s="51"/>
      <c r="L38" s="51"/>
      <c r="M38" s="51"/>
      <c r="N38" s="51"/>
      <c r="O38" s="52"/>
      <c r="Q38" s="50"/>
      <c r="R38" s="51"/>
      <c r="S38" s="51"/>
      <c r="T38" s="51"/>
      <c r="U38" s="51"/>
      <c r="V38" s="52"/>
      <c r="X38" s="50"/>
      <c r="Y38" s="51"/>
      <c r="Z38" s="51"/>
      <c r="AA38" s="51"/>
      <c r="AB38" s="51"/>
      <c r="AC38" s="52"/>
      <c r="AE38" s="50"/>
      <c r="AF38" s="51"/>
      <c r="AG38" s="51"/>
      <c r="AH38" s="51"/>
      <c r="AI38" s="51"/>
      <c r="AJ38" s="52"/>
      <c r="BA38" s="6"/>
    </row>
    <row r="39" spans="2:53" x14ac:dyDescent="0.2">
      <c r="B39" s="5"/>
      <c r="C39" s="50"/>
      <c r="D39" s="51"/>
      <c r="E39" s="51"/>
      <c r="F39" s="51"/>
      <c r="G39" s="51"/>
      <c r="H39" s="52"/>
      <c r="J39" s="50"/>
      <c r="K39" s="51"/>
      <c r="L39" s="51"/>
      <c r="M39" s="51"/>
      <c r="N39" s="51"/>
      <c r="O39" s="52"/>
      <c r="Q39" s="50"/>
      <c r="R39" s="51"/>
      <c r="S39" s="51"/>
      <c r="T39" s="51"/>
      <c r="U39" s="51"/>
      <c r="V39" s="52"/>
      <c r="X39" s="50"/>
      <c r="Y39" s="51"/>
      <c r="Z39" s="51"/>
      <c r="AA39" s="51"/>
      <c r="AB39" s="51"/>
      <c r="AC39" s="52"/>
      <c r="AE39" s="50"/>
      <c r="AF39" s="51"/>
      <c r="AG39" s="51"/>
      <c r="AH39" s="51"/>
      <c r="AI39" s="51"/>
      <c r="AJ39" s="52"/>
      <c r="BA39" s="6"/>
    </row>
    <row r="40" spans="2:53" x14ac:dyDescent="0.2">
      <c r="B40" s="5"/>
      <c r="C40" s="50"/>
      <c r="D40" s="51"/>
      <c r="E40" s="51"/>
      <c r="F40" s="51"/>
      <c r="G40" s="51"/>
      <c r="H40" s="52"/>
      <c r="J40" s="50"/>
      <c r="K40" s="51"/>
      <c r="L40" s="51"/>
      <c r="M40" s="51"/>
      <c r="N40" s="51"/>
      <c r="O40" s="52"/>
      <c r="Q40" s="50"/>
      <c r="R40" s="51"/>
      <c r="S40" s="51"/>
      <c r="T40" s="51"/>
      <c r="U40" s="51"/>
      <c r="V40" s="52"/>
      <c r="X40" s="50"/>
      <c r="Y40" s="51"/>
      <c r="Z40" s="51"/>
      <c r="AA40" s="51"/>
      <c r="AB40" s="51"/>
      <c r="AC40" s="52"/>
      <c r="AE40" s="50"/>
      <c r="AF40" s="51"/>
      <c r="AG40" s="51"/>
      <c r="AH40" s="51"/>
      <c r="AI40" s="51"/>
      <c r="AJ40" s="52"/>
      <c r="BA40" s="6"/>
    </row>
    <row r="41" spans="2:53" x14ac:dyDescent="0.2">
      <c r="B41" s="5"/>
      <c r="BA41" s="6"/>
    </row>
    <row r="42" spans="2:53" x14ac:dyDescent="0.2">
      <c r="B42" s="5" t="s">
        <v>248</v>
      </c>
      <c r="BA42" s="6"/>
    </row>
    <row r="43" spans="2:53" x14ac:dyDescent="0.2">
      <c r="B43" s="5"/>
      <c r="C43" s="53" t="s">
        <v>249</v>
      </c>
      <c r="D43" s="54"/>
      <c r="E43" s="54"/>
      <c r="F43" s="54"/>
      <c r="G43" s="54"/>
      <c r="H43" s="55"/>
      <c r="J43" s="53"/>
      <c r="K43" s="54"/>
      <c r="L43" s="54"/>
      <c r="M43" s="54"/>
      <c r="N43" s="54"/>
      <c r="O43" s="55"/>
      <c r="Q43" s="53"/>
      <c r="R43" s="54"/>
      <c r="S43" s="54"/>
      <c r="T43" s="54"/>
      <c r="U43" s="54"/>
      <c r="V43" s="55"/>
      <c r="X43" s="53"/>
      <c r="Y43" s="54"/>
      <c r="Z43" s="54"/>
      <c r="AA43" s="54"/>
      <c r="AB43" s="54"/>
      <c r="AC43" s="55"/>
      <c r="AE43" s="53"/>
      <c r="AF43" s="54"/>
      <c r="AG43" s="54"/>
      <c r="AH43" s="54"/>
      <c r="AI43" s="54"/>
      <c r="AJ43" s="55"/>
      <c r="BA43" s="6"/>
    </row>
    <row r="44" spans="2:53" x14ac:dyDescent="0.2">
      <c r="B44" s="5"/>
      <c r="C44" s="50" t="s">
        <v>250</v>
      </c>
      <c r="D44" s="51"/>
      <c r="E44" s="51"/>
      <c r="F44" s="51"/>
      <c r="G44" s="51"/>
      <c r="H44" s="52"/>
      <c r="J44" s="50"/>
      <c r="K44" s="51"/>
      <c r="L44" s="51"/>
      <c r="M44" s="51"/>
      <c r="N44" s="51"/>
      <c r="O44" s="52"/>
      <c r="Q44" s="50"/>
      <c r="R44" s="51"/>
      <c r="S44" s="51"/>
      <c r="T44" s="51"/>
      <c r="U44" s="51"/>
      <c r="V44" s="52"/>
      <c r="X44" s="50"/>
      <c r="Y44" s="51"/>
      <c r="Z44" s="51"/>
      <c r="AA44" s="51"/>
      <c r="AB44" s="51"/>
      <c r="AC44" s="52"/>
      <c r="AE44" s="50"/>
      <c r="AF44" s="51"/>
      <c r="AG44" s="51"/>
      <c r="AH44" s="51"/>
      <c r="AI44" s="51"/>
      <c r="AJ44" s="52"/>
      <c r="BA44" s="6"/>
    </row>
    <row r="45" spans="2:53" x14ac:dyDescent="0.2">
      <c r="B45" s="5"/>
      <c r="C45" s="50" t="s">
        <v>251</v>
      </c>
      <c r="D45" s="51"/>
      <c r="E45" s="51"/>
      <c r="F45" s="51"/>
      <c r="G45" s="51"/>
      <c r="H45" s="52"/>
      <c r="J45" s="50"/>
      <c r="K45" s="51"/>
      <c r="L45" s="51"/>
      <c r="M45" s="51"/>
      <c r="N45" s="51"/>
      <c r="O45" s="52"/>
      <c r="Q45" s="50"/>
      <c r="R45" s="51"/>
      <c r="S45" s="51"/>
      <c r="T45" s="51"/>
      <c r="U45" s="51"/>
      <c r="V45" s="52"/>
      <c r="X45" s="50"/>
      <c r="Y45" s="51"/>
      <c r="Z45" s="51"/>
      <c r="AA45" s="51"/>
      <c r="AB45" s="51"/>
      <c r="AC45" s="52"/>
      <c r="AE45" s="50"/>
      <c r="AF45" s="51"/>
      <c r="AG45" s="51"/>
      <c r="AH45" s="51"/>
      <c r="AI45" s="51"/>
      <c r="AJ45" s="52"/>
      <c r="BA45" s="6"/>
    </row>
    <row r="46" spans="2:53" x14ac:dyDescent="0.2">
      <c r="B46" s="5"/>
      <c r="C46" s="50" t="s">
        <v>252</v>
      </c>
      <c r="D46" s="51"/>
      <c r="E46" s="51"/>
      <c r="F46" s="51"/>
      <c r="G46" s="51"/>
      <c r="H46" s="52"/>
      <c r="J46" s="50"/>
      <c r="K46" s="51"/>
      <c r="L46" s="51"/>
      <c r="M46" s="51"/>
      <c r="N46" s="51"/>
      <c r="O46" s="52"/>
      <c r="Q46" s="50"/>
      <c r="R46" s="51"/>
      <c r="S46" s="51"/>
      <c r="T46" s="51"/>
      <c r="U46" s="51"/>
      <c r="V46" s="52"/>
      <c r="X46" s="50"/>
      <c r="Y46" s="51"/>
      <c r="Z46" s="51"/>
      <c r="AA46" s="51"/>
      <c r="AB46" s="51"/>
      <c r="AC46" s="52"/>
      <c r="AE46" s="50"/>
      <c r="AF46" s="51"/>
      <c r="AG46" s="51"/>
      <c r="AH46" s="51"/>
      <c r="AI46" s="51"/>
      <c r="AJ46" s="52"/>
      <c r="BA46" s="6"/>
    </row>
    <row r="47" spans="2:53" x14ac:dyDescent="0.2">
      <c r="B47" s="5"/>
      <c r="C47" s="50" t="s">
        <v>253</v>
      </c>
      <c r="D47" s="51"/>
      <c r="E47" s="51"/>
      <c r="F47" s="51"/>
      <c r="G47" s="51"/>
      <c r="H47" s="52"/>
      <c r="J47" s="50"/>
      <c r="K47" s="51"/>
      <c r="L47" s="51"/>
      <c r="M47" s="51"/>
      <c r="N47" s="51"/>
      <c r="O47" s="52"/>
      <c r="Q47" s="50"/>
      <c r="R47" s="51"/>
      <c r="S47" s="51"/>
      <c r="T47" s="51"/>
      <c r="U47" s="51"/>
      <c r="V47" s="52"/>
      <c r="X47" s="50"/>
      <c r="Y47" s="51"/>
      <c r="Z47" s="51"/>
      <c r="AA47" s="51"/>
      <c r="AB47" s="51"/>
      <c r="AC47" s="52"/>
      <c r="AE47" s="50"/>
      <c r="AF47" s="51"/>
      <c r="AG47" s="51"/>
      <c r="AH47" s="51"/>
      <c r="AI47" s="51"/>
      <c r="AJ47" s="52"/>
      <c r="BA47" s="6"/>
    </row>
    <row r="48" spans="2:53" x14ac:dyDescent="0.2">
      <c r="B48" s="5"/>
      <c r="C48" s="50" t="s">
        <v>254</v>
      </c>
      <c r="D48" s="51"/>
      <c r="E48" s="51"/>
      <c r="F48" s="51"/>
      <c r="G48" s="51"/>
      <c r="H48" s="52"/>
      <c r="J48" s="50"/>
      <c r="K48" s="51"/>
      <c r="L48" s="51"/>
      <c r="M48" s="51"/>
      <c r="N48" s="51"/>
      <c r="O48" s="52"/>
      <c r="Q48" s="50"/>
      <c r="R48" s="51"/>
      <c r="S48" s="51"/>
      <c r="T48" s="51"/>
      <c r="U48" s="51"/>
      <c r="V48" s="52"/>
      <c r="X48" s="50"/>
      <c r="Y48" s="51"/>
      <c r="Z48" s="51"/>
      <c r="AA48" s="51"/>
      <c r="AB48" s="51"/>
      <c r="AC48" s="52"/>
      <c r="AE48" s="50"/>
      <c r="AF48" s="51"/>
      <c r="AG48" s="51"/>
      <c r="AH48" s="51"/>
      <c r="AI48" s="51"/>
      <c r="AJ48" s="52"/>
      <c r="BA48" s="6"/>
    </row>
    <row r="49" spans="2:53" x14ac:dyDescent="0.2">
      <c r="B49" s="5"/>
      <c r="C49" s="50" t="s">
        <v>255</v>
      </c>
      <c r="D49" s="51"/>
      <c r="E49" s="51"/>
      <c r="F49" s="51"/>
      <c r="G49" s="51"/>
      <c r="H49" s="52"/>
      <c r="J49" s="50"/>
      <c r="K49" s="51"/>
      <c r="L49" s="51"/>
      <c r="M49" s="51"/>
      <c r="N49" s="51"/>
      <c r="O49" s="52"/>
      <c r="Q49" s="50"/>
      <c r="R49" s="51"/>
      <c r="S49" s="51"/>
      <c r="T49" s="51"/>
      <c r="U49" s="51"/>
      <c r="V49" s="52"/>
      <c r="X49" s="50"/>
      <c r="Y49" s="51"/>
      <c r="Z49" s="51"/>
      <c r="AA49" s="51"/>
      <c r="AB49" s="51"/>
      <c r="AC49" s="52"/>
      <c r="AE49" s="50"/>
      <c r="AF49" s="51"/>
      <c r="AG49" s="51"/>
      <c r="AH49" s="51"/>
      <c r="AI49" s="51"/>
      <c r="AJ49" s="52"/>
      <c r="BA49" s="6"/>
    </row>
    <row r="50" spans="2:53" x14ac:dyDescent="0.2">
      <c r="B50" s="5"/>
      <c r="C50" s="50" t="s">
        <v>256</v>
      </c>
      <c r="D50" s="51"/>
      <c r="E50" s="51"/>
      <c r="F50" s="51"/>
      <c r="G50" s="51"/>
      <c r="H50" s="52"/>
      <c r="BA50" s="6"/>
    </row>
    <row r="51" spans="2:53" x14ac:dyDescent="0.2">
      <c r="B51" s="5"/>
      <c r="C51" s="50" t="s">
        <v>257</v>
      </c>
      <c r="D51" s="51"/>
      <c r="E51" s="51"/>
      <c r="F51" s="51"/>
      <c r="G51" s="51"/>
      <c r="H51" s="52"/>
      <c r="BA51" s="6"/>
    </row>
    <row r="52" spans="2:53" x14ac:dyDescent="0.2">
      <c r="B52" s="5"/>
      <c r="C52" s="50" t="s">
        <v>258</v>
      </c>
      <c r="D52" s="51"/>
      <c r="E52" s="51"/>
      <c r="F52" s="51"/>
      <c r="G52" s="51"/>
      <c r="H52" s="52"/>
      <c r="BA52" s="6"/>
    </row>
    <row r="53" spans="2:53" x14ac:dyDescent="0.2">
      <c r="B53" s="5"/>
      <c r="BA53" s="6"/>
    </row>
    <row r="54" spans="2:53" x14ac:dyDescent="0.2">
      <c r="B54" s="5"/>
      <c r="BA54" s="6"/>
    </row>
    <row r="55" spans="2:53" x14ac:dyDescent="0.2">
      <c r="B55" s="5"/>
      <c r="BA55" s="6"/>
    </row>
    <row r="56" spans="2:53" x14ac:dyDescent="0.2">
      <c r="B56" s="5"/>
      <c r="BA56" s="6"/>
    </row>
    <row r="57" spans="2:53" x14ac:dyDescent="0.2">
      <c r="B57" s="5"/>
      <c r="BA57" s="6"/>
    </row>
    <row r="58" spans="2:53" x14ac:dyDescent="0.2">
      <c r="B58" s="5"/>
      <c r="BA58" s="6"/>
    </row>
    <row r="59" spans="2:53" x14ac:dyDescent="0.2"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9"/>
    </row>
  </sheetData>
  <mergeCells count="153">
    <mergeCell ref="C50:H50"/>
    <mergeCell ref="C51:H51"/>
    <mergeCell ref="C52:H52"/>
    <mergeCell ref="C22:H22"/>
    <mergeCell ref="J22:O22"/>
    <mergeCell ref="Q22:V22"/>
    <mergeCell ref="X22:AC22"/>
    <mergeCell ref="Q32:V32"/>
    <mergeCell ref="C20:H20"/>
    <mergeCell ref="J20:O20"/>
    <mergeCell ref="Q20:V20"/>
    <mergeCell ref="X20:AC20"/>
    <mergeCell ref="C21:H21"/>
    <mergeCell ref="J21:O21"/>
    <mergeCell ref="Q21:V21"/>
    <mergeCell ref="X21:AC21"/>
    <mergeCell ref="C40:H40"/>
    <mergeCell ref="J40:O40"/>
    <mergeCell ref="Q40:V40"/>
    <mergeCell ref="X40:AC40"/>
    <mergeCell ref="C37:H37"/>
    <mergeCell ref="J37:O37"/>
    <mergeCell ref="Q37:V37"/>
    <mergeCell ref="X37:AC37"/>
    <mergeCell ref="C18:H18"/>
    <mergeCell ref="J18:O18"/>
    <mergeCell ref="Q18:V18"/>
    <mergeCell ref="X18:AC18"/>
    <mergeCell ref="C19:H19"/>
    <mergeCell ref="J19:O19"/>
    <mergeCell ref="Q19:V19"/>
    <mergeCell ref="X19:AC19"/>
    <mergeCell ref="C16:H16"/>
    <mergeCell ref="J16:O16"/>
    <mergeCell ref="Q16:V16"/>
    <mergeCell ref="X16:AC16"/>
    <mergeCell ref="C17:H17"/>
    <mergeCell ref="J17:O17"/>
    <mergeCell ref="Q17:V17"/>
    <mergeCell ref="X17:AC17"/>
    <mergeCell ref="C39:H39"/>
    <mergeCell ref="J39:O39"/>
    <mergeCell ref="Q39:V39"/>
    <mergeCell ref="X39:AC39"/>
    <mergeCell ref="AE39:AJ39"/>
    <mergeCell ref="C38:H38"/>
    <mergeCell ref="J38:O38"/>
    <mergeCell ref="Q38:V38"/>
    <mergeCell ref="X38:AC38"/>
    <mergeCell ref="AE38:AJ38"/>
    <mergeCell ref="Q30:V30"/>
    <mergeCell ref="C31:H31"/>
    <mergeCell ref="J31:O31"/>
    <mergeCell ref="Q31:V31"/>
    <mergeCell ref="AE37:AJ37"/>
    <mergeCell ref="C36:H36"/>
    <mergeCell ref="J36:O36"/>
    <mergeCell ref="Q36:V36"/>
    <mergeCell ref="X36:AC36"/>
    <mergeCell ref="AE36:AJ36"/>
    <mergeCell ref="C35:H35"/>
    <mergeCell ref="J35:O35"/>
    <mergeCell ref="Q35:V35"/>
    <mergeCell ref="X35:AC35"/>
    <mergeCell ref="AE35:AJ35"/>
    <mergeCell ref="AE45:AJ45"/>
    <mergeCell ref="AE46:AJ46"/>
    <mergeCell ref="AE47:AJ47"/>
    <mergeCell ref="AE48:AJ48"/>
    <mergeCell ref="AE49:AJ49"/>
    <mergeCell ref="X25:AC25"/>
    <mergeCell ref="X26:AC26"/>
    <mergeCell ref="X27:AC27"/>
    <mergeCell ref="X28:AC28"/>
    <mergeCell ref="X29:AC29"/>
    <mergeCell ref="X34:AC34"/>
    <mergeCell ref="AE34:AJ34"/>
    <mergeCell ref="X30:AC30"/>
    <mergeCell ref="X31:AC31"/>
    <mergeCell ref="AE43:AJ43"/>
    <mergeCell ref="AE44:AJ44"/>
    <mergeCell ref="AE40:AJ40"/>
    <mergeCell ref="J26:O26"/>
    <mergeCell ref="Q26:V26"/>
    <mergeCell ref="C27:H27"/>
    <mergeCell ref="J27:O27"/>
    <mergeCell ref="Q27:V27"/>
    <mergeCell ref="Q47:V47"/>
    <mergeCell ref="Q48:V48"/>
    <mergeCell ref="Q49:V49"/>
    <mergeCell ref="X43:AC43"/>
    <mergeCell ref="X44:AC44"/>
    <mergeCell ref="X45:AC45"/>
    <mergeCell ref="X46:AC46"/>
    <mergeCell ref="X47:AC47"/>
    <mergeCell ref="X48:AC48"/>
    <mergeCell ref="X49:AC49"/>
    <mergeCell ref="Q43:V43"/>
    <mergeCell ref="Q44:V44"/>
    <mergeCell ref="Q45:V45"/>
    <mergeCell ref="Q46:V46"/>
    <mergeCell ref="C34:H34"/>
    <mergeCell ref="J34:O34"/>
    <mergeCell ref="Q34:V34"/>
    <mergeCell ref="C30:H30"/>
    <mergeCell ref="J30:O30"/>
    <mergeCell ref="C49:H49"/>
    <mergeCell ref="J49:O49"/>
    <mergeCell ref="C25:H25"/>
    <mergeCell ref="J25:O25"/>
    <mergeCell ref="Q25:V25"/>
    <mergeCell ref="C46:H46"/>
    <mergeCell ref="J46:O46"/>
    <mergeCell ref="C47:H47"/>
    <mergeCell ref="J47:O47"/>
    <mergeCell ref="C48:H48"/>
    <mergeCell ref="J48:O48"/>
    <mergeCell ref="C43:H43"/>
    <mergeCell ref="J43:O43"/>
    <mergeCell ref="C44:H44"/>
    <mergeCell ref="J44:O44"/>
    <mergeCell ref="C45:H45"/>
    <mergeCell ref="J45:O45"/>
    <mergeCell ref="C28:H28"/>
    <mergeCell ref="J28:O28"/>
    <mergeCell ref="Q28:V28"/>
    <mergeCell ref="C29:H29"/>
    <mergeCell ref="J29:O29"/>
    <mergeCell ref="Q29:V29"/>
    <mergeCell ref="C26:H26"/>
    <mergeCell ref="B2:M2"/>
    <mergeCell ref="N2:AC2"/>
    <mergeCell ref="AD2:AV2"/>
    <mergeCell ref="AW2:BA2"/>
    <mergeCell ref="B3:M3"/>
    <mergeCell ref="N3:AC3"/>
    <mergeCell ref="AD3:AV3"/>
    <mergeCell ref="AW3:BA3"/>
    <mergeCell ref="C11:H11"/>
    <mergeCell ref="C12:H12"/>
    <mergeCell ref="C13:H13"/>
    <mergeCell ref="B5:BA5"/>
    <mergeCell ref="C7:H7"/>
    <mergeCell ref="C8:H8"/>
    <mergeCell ref="C9:H9"/>
    <mergeCell ref="C10:H10"/>
    <mergeCell ref="J7:O7"/>
    <mergeCell ref="J8:O8"/>
    <mergeCell ref="J9:O9"/>
    <mergeCell ref="J10:O10"/>
    <mergeCell ref="J11:O11"/>
    <mergeCell ref="J12:O12"/>
    <mergeCell ref="J13:O13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r:id="rId1"/>
  <headerFooter>
    <oddFooter>&amp;P / &amp;N ページ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BD16"/>
  <sheetViews>
    <sheetView showGridLines="0" zoomScale="85" zoomScaleNormal="85" workbookViewId="0"/>
  </sheetViews>
  <sheetFormatPr defaultColWidth="10" defaultRowHeight="15" x14ac:dyDescent="0.2"/>
  <cols>
    <col min="1" max="1" width="4.453125" style="34" customWidth="1"/>
    <col min="2" max="2" width="9" style="34"/>
    <col min="3" max="4" width="11" style="34" customWidth="1"/>
    <col min="5" max="5" width="25.90625" style="34" bestFit="1" customWidth="1"/>
    <col min="6" max="7" width="9.36328125" style="34" bestFit="1" customWidth="1"/>
    <col min="8" max="8" width="13.36328125" style="34" bestFit="1" customWidth="1"/>
    <col min="9" max="9" width="11.6328125" style="34" bestFit="1" customWidth="1"/>
    <col min="10" max="10" width="9.453125" style="34" bestFit="1" customWidth="1"/>
    <col min="11" max="11" width="10.7265625" style="34" bestFit="1" customWidth="1"/>
    <col min="12" max="12" width="19" style="34" customWidth="1"/>
    <col min="13" max="13" width="14.08984375" style="34" bestFit="1" customWidth="1"/>
    <col min="14" max="14" width="23.90625" style="34" customWidth="1"/>
    <col min="15" max="15" width="20.90625" style="34" bestFit="1" customWidth="1"/>
    <col min="16" max="16" width="38.7265625" style="34" bestFit="1" customWidth="1"/>
    <col min="17" max="16384" width="10" style="34"/>
  </cols>
  <sheetData>
    <row r="1" spans="2:56" s="29" customFormat="1" ht="13.5" customHeight="1" x14ac:dyDescent="0.2"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</row>
    <row r="2" spans="2:56" x14ac:dyDescent="0.2">
      <c r="B2" s="32" t="s">
        <v>65</v>
      </c>
      <c r="C2" s="33" t="s">
        <v>374</v>
      </c>
      <c r="D2" s="32" t="s">
        <v>66</v>
      </c>
      <c r="E2" s="33" t="s">
        <v>121</v>
      </c>
      <c r="M2" s="32" t="s">
        <v>67</v>
      </c>
      <c r="N2" s="33" t="s">
        <v>14</v>
      </c>
      <c r="O2" s="32" t="s">
        <v>68</v>
      </c>
      <c r="P2" s="33" t="s">
        <v>69</v>
      </c>
    </row>
    <row r="3" spans="2:56" x14ac:dyDescent="0.2">
      <c r="B3" s="32" t="s">
        <v>70</v>
      </c>
      <c r="C3" s="33" t="s">
        <v>122</v>
      </c>
      <c r="D3" s="32" t="s">
        <v>71</v>
      </c>
      <c r="E3" s="33" t="s">
        <v>123</v>
      </c>
      <c r="M3" s="32" t="s">
        <v>72</v>
      </c>
      <c r="N3" s="33" t="s">
        <v>73</v>
      </c>
      <c r="O3" s="32" t="s">
        <v>74</v>
      </c>
      <c r="P3" s="33" t="s">
        <v>75</v>
      </c>
    </row>
    <row r="5" spans="2:56" ht="25.5" customHeight="1" x14ac:dyDescent="0.2">
      <c r="B5" s="32" t="s">
        <v>76</v>
      </c>
      <c r="C5" s="32" t="s">
        <v>77</v>
      </c>
      <c r="D5" s="32" t="s">
        <v>78</v>
      </c>
      <c r="E5" s="32" t="s">
        <v>79</v>
      </c>
      <c r="F5" s="32" t="s">
        <v>80</v>
      </c>
      <c r="G5" s="32" t="s">
        <v>81</v>
      </c>
      <c r="H5" s="32" t="s">
        <v>82</v>
      </c>
      <c r="I5" s="32" t="s">
        <v>83</v>
      </c>
      <c r="J5" s="32" t="s">
        <v>84</v>
      </c>
      <c r="K5" s="32" t="s">
        <v>85</v>
      </c>
      <c r="L5" s="32" t="s">
        <v>86</v>
      </c>
      <c r="M5" s="32" t="s">
        <v>87</v>
      </c>
      <c r="N5" s="32" t="s">
        <v>88</v>
      </c>
      <c r="O5" s="32" t="s">
        <v>89</v>
      </c>
      <c r="P5" s="32" t="s">
        <v>90</v>
      </c>
    </row>
    <row r="6" spans="2:56" ht="30.75" customHeight="1" x14ac:dyDescent="0.2">
      <c r="B6" s="44">
        <f>ROW()-5</f>
        <v>1</v>
      </c>
      <c r="C6" s="33" t="s">
        <v>259</v>
      </c>
      <c r="D6" s="33" t="s">
        <v>125</v>
      </c>
      <c r="E6" s="33" t="s">
        <v>126</v>
      </c>
      <c r="F6" s="33" t="s">
        <v>93</v>
      </c>
      <c r="G6" s="33"/>
      <c r="H6" s="33"/>
      <c r="I6" s="33"/>
      <c r="J6" s="33" t="s">
        <v>93</v>
      </c>
      <c r="K6" s="33" t="s">
        <v>94</v>
      </c>
      <c r="L6" s="33">
        <v>10</v>
      </c>
      <c r="M6" s="33" t="s">
        <v>93</v>
      </c>
      <c r="N6" s="33"/>
      <c r="O6" s="33">
        <v>1000000001</v>
      </c>
      <c r="P6" s="33"/>
    </row>
    <row r="7" spans="2:56" ht="30.75" customHeight="1" x14ac:dyDescent="0.2">
      <c r="B7" s="44">
        <f t="shared" ref="B7:B16" si="0">ROW()-5</f>
        <v>2</v>
      </c>
      <c r="C7" s="33" t="s">
        <v>260</v>
      </c>
      <c r="D7" s="33" t="s">
        <v>131</v>
      </c>
      <c r="E7" s="33" t="s">
        <v>261</v>
      </c>
      <c r="F7" s="33"/>
      <c r="G7" s="33"/>
      <c r="H7" s="33"/>
      <c r="I7" s="33"/>
      <c r="J7" s="33" t="s">
        <v>93</v>
      </c>
      <c r="K7" s="33" t="s">
        <v>94</v>
      </c>
      <c r="L7" s="33">
        <v>40</v>
      </c>
      <c r="M7" s="33" t="s">
        <v>93</v>
      </c>
      <c r="N7" s="33"/>
      <c r="O7" s="33" t="s">
        <v>98</v>
      </c>
      <c r="P7" s="33"/>
    </row>
    <row r="8" spans="2:56" ht="30.75" customHeight="1" x14ac:dyDescent="0.2">
      <c r="B8" s="44">
        <f t="shared" si="0"/>
        <v>3</v>
      </c>
      <c r="C8" s="33" t="s">
        <v>262</v>
      </c>
      <c r="D8" s="33" t="s">
        <v>134</v>
      </c>
      <c r="E8" s="33" t="s">
        <v>263</v>
      </c>
      <c r="F8" s="33"/>
      <c r="G8" s="33"/>
      <c r="H8" s="33"/>
      <c r="I8" s="33"/>
      <c r="J8" s="33"/>
      <c r="K8" s="33" t="s">
        <v>108</v>
      </c>
      <c r="L8" s="33">
        <v>10</v>
      </c>
      <c r="M8" s="33"/>
      <c r="N8" s="33" t="s">
        <v>137</v>
      </c>
      <c r="O8" s="33" t="s">
        <v>138</v>
      </c>
      <c r="P8" s="33"/>
    </row>
    <row r="9" spans="2:56" ht="30.75" customHeight="1" x14ac:dyDescent="0.2">
      <c r="B9" s="44">
        <f t="shared" si="0"/>
        <v>4</v>
      </c>
      <c r="C9" s="33" t="s">
        <v>145</v>
      </c>
      <c r="D9" s="33" t="s">
        <v>146</v>
      </c>
      <c r="E9" s="33" t="s">
        <v>146</v>
      </c>
      <c r="F9" s="33"/>
      <c r="G9" s="33"/>
      <c r="H9" s="33"/>
      <c r="I9" s="33"/>
      <c r="J9" s="33"/>
      <c r="K9" s="33" t="s">
        <v>94</v>
      </c>
      <c r="L9" s="33">
        <v>40</v>
      </c>
      <c r="M9" s="33" t="s">
        <v>93</v>
      </c>
      <c r="N9" s="33"/>
      <c r="O9" s="33" t="s">
        <v>147</v>
      </c>
      <c r="P9" s="33" t="s">
        <v>148</v>
      </c>
    </row>
    <row r="10" spans="2:56" ht="30.75" customHeight="1" x14ac:dyDescent="0.2">
      <c r="B10" s="44">
        <f t="shared" si="0"/>
        <v>5</v>
      </c>
      <c r="C10" s="33" t="s">
        <v>149</v>
      </c>
      <c r="D10" s="33" t="s">
        <v>150</v>
      </c>
      <c r="E10" s="33" t="s">
        <v>263</v>
      </c>
      <c r="F10" s="33"/>
      <c r="G10" s="33"/>
      <c r="H10" s="33"/>
      <c r="I10" s="33"/>
      <c r="J10" s="33"/>
      <c r="K10" s="33" t="s">
        <v>108</v>
      </c>
      <c r="L10" s="33">
        <v>8</v>
      </c>
      <c r="M10" s="33" t="s">
        <v>93</v>
      </c>
      <c r="N10" s="33"/>
      <c r="O10" s="33"/>
      <c r="P10" s="33"/>
    </row>
    <row r="11" spans="2:56" ht="30.75" customHeight="1" x14ac:dyDescent="0.2">
      <c r="B11" s="44">
        <f t="shared" si="0"/>
        <v>6</v>
      </c>
      <c r="C11" s="33" t="s">
        <v>154</v>
      </c>
      <c r="D11" s="33" t="s">
        <v>155</v>
      </c>
      <c r="E11" s="33" t="s">
        <v>151</v>
      </c>
      <c r="F11" s="33"/>
      <c r="G11" s="33"/>
      <c r="H11" s="33"/>
      <c r="I11" s="33"/>
      <c r="J11" s="33"/>
      <c r="K11" s="33" t="s">
        <v>108</v>
      </c>
      <c r="L11" s="33" t="s">
        <v>152</v>
      </c>
      <c r="M11" s="33" t="s">
        <v>93</v>
      </c>
      <c r="N11" s="33" t="s">
        <v>156</v>
      </c>
      <c r="O11" s="33"/>
      <c r="P11" s="33"/>
    </row>
    <row r="12" spans="2:56" ht="30.75" customHeight="1" x14ac:dyDescent="0.2">
      <c r="B12" s="44">
        <f t="shared" si="0"/>
        <v>7</v>
      </c>
      <c r="C12" s="33" t="s">
        <v>105</v>
      </c>
      <c r="D12" s="33" t="s">
        <v>106</v>
      </c>
      <c r="E12" s="33" t="s">
        <v>107</v>
      </c>
      <c r="F12" s="33"/>
      <c r="G12" s="33"/>
      <c r="H12" s="33"/>
      <c r="I12" s="33"/>
      <c r="J12" s="33"/>
      <c r="K12" s="33" t="s">
        <v>108</v>
      </c>
      <c r="L12" s="33" t="s">
        <v>109</v>
      </c>
      <c r="M12" s="33" t="s">
        <v>93</v>
      </c>
      <c r="N12" s="33" t="s">
        <v>110</v>
      </c>
      <c r="O12" s="33" t="s">
        <v>110</v>
      </c>
      <c r="P12" s="33" t="s">
        <v>110</v>
      </c>
    </row>
    <row r="13" spans="2:56" ht="30.75" customHeight="1" x14ac:dyDescent="0.2">
      <c r="B13" s="44">
        <f t="shared" si="0"/>
        <v>8</v>
      </c>
      <c r="C13" s="33" t="s">
        <v>350</v>
      </c>
      <c r="D13" s="33" t="s">
        <v>111</v>
      </c>
      <c r="E13" s="33" t="s">
        <v>356</v>
      </c>
      <c r="F13" s="33"/>
      <c r="G13" s="33"/>
      <c r="H13" s="33"/>
      <c r="I13" s="33"/>
      <c r="J13" s="33"/>
      <c r="K13" s="33" t="s">
        <v>94</v>
      </c>
      <c r="L13" s="33" t="s">
        <v>355</v>
      </c>
      <c r="M13" s="33" t="s">
        <v>93</v>
      </c>
      <c r="N13" s="33" t="s">
        <v>111</v>
      </c>
      <c r="O13" s="33" t="s">
        <v>111</v>
      </c>
      <c r="P13" s="33" t="s">
        <v>353</v>
      </c>
    </row>
    <row r="14" spans="2:56" ht="30.75" customHeight="1" x14ac:dyDescent="0.2">
      <c r="B14" s="44">
        <f t="shared" si="0"/>
        <v>9</v>
      </c>
      <c r="C14" s="33" t="s">
        <v>112</v>
      </c>
      <c r="D14" s="33" t="s">
        <v>113</v>
      </c>
      <c r="E14" s="33" t="s">
        <v>107</v>
      </c>
      <c r="F14" s="33"/>
      <c r="G14" s="33"/>
      <c r="H14" s="33"/>
      <c r="I14" s="33"/>
      <c r="J14" s="33"/>
      <c r="K14" s="33" t="s">
        <v>108</v>
      </c>
      <c r="L14" s="33" t="s">
        <v>109</v>
      </c>
      <c r="M14" s="33" t="s">
        <v>93</v>
      </c>
      <c r="N14" s="33" t="s">
        <v>110</v>
      </c>
      <c r="O14" s="33" t="s">
        <v>114</v>
      </c>
      <c r="P14" s="33" t="s">
        <v>114</v>
      </c>
    </row>
    <row r="15" spans="2:56" ht="30.75" customHeight="1" x14ac:dyDescent="0.2">
      <c r="B15" s="44">
        <f t="shared" si="0"/>
        <v>10</v>
      </c>
      <c r="C15" s="33" t="s">
        <v>351</v>
      </c>
      <c r="D15" s="33" t="s">
        <v>115</v>
      </c>
      <c r="E15" s="33" t="s">
        <v>348</v>
      </c>
      <c r="F15" s="33"/>
      <c r="G15" s="33"/>
      <c r="H15" s="33"/>
      <c r="I15" s="33"/>
      <c r="J15" s="33"/>
      <c r="K15" s="33" t="s">
        <v>94</v>
      </c>
      <c r="L15" s="33" t="s">
        <v>355</v>
      </c>
      <c r="M15" s="33" t="s">
        <v>93</v>
      </c>
      <c r="N15" s="33" t="s">
        <v>116</v>
      </c>
      <c r="O15" s="33" t="s">
        <v>116</v>
      </c>
      <c r="P15" s="36" t="s">
        <v>354</v>
      </c>
    </row>
    <row r="16" spans="2:56" ht="45" x14ac:dyDescent="0.2">
      <c r="B16" s="44">
        <f t="shared" si="0"/>
        <v>11</v>
      </c>
      <c r="C16" s="33" t="s">
        <v>117</v>
      </c>
      <c r="D16" s="33" t="s">
        <v>118</v>
      </c>
      <c r="E16" s="36" t="s">
        <v>352</v>
      </c>
      <c r="F16" s="33"/>
      <c r="G16" s="33"/>
      <c r="H16" s="33"/>
      <c r="I16" s="33"/>
      <c r="J16" s="33"/>
      <c r="K16" s="33" t="s">
        <v>119</v>
      </c>
      <c r="L16" s="33" t="s">
        <v>355</v>
      </c>
      <c r="M16" s="33" t="s">
        <v>93</v>
      </c>
      <c r="N16" s="33" t="s">
        <v>120</v>
      </c>
      <c r="O16" s="33"/>
      <c r="P16" s="36" t="s">
        <v>352</v>
      </c>
    </row>
  </sheetData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/>
  <headerFooter>
    <oddFooter>&amp;P / &amp;N ページ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BD16"/>
  <sheetViews>
    <sheetView showGridLines="0" zoomScale="55" zoomScaleNormal="55" workbookViewId="0">
      <selection activeCell="C2" sqref="C2"/>
    </sheetView>
  </sheetViews>
  <sheetFormatPr defaultColWidth="10" defaultRowHeight="15" x14ac:dyDescent="0.2"/>
  <cols>
    <col min="1" max="1" width="4.453125" style="34" customWidth="1"/>
    <col min="2" max="2" width="10" style="34"/>
    <col min="3" max="3" width="14" style="34" bestFit="1" customWidth="1"/>
    <col min="4" max="4" width="15.36328125" style="34" customWidth="1"/>
    <col min="5" max="5" width="25.90625" style="34" bestFit="1" customWidth="1"/>
    <col min="6" max="7" width="9.36328125" style="34" bestFit="1" customWidth="1"/>
    <col min="8" max="8" width="13.36328125" style="34" bestFit="1" customWidth="1"/>
    <col min="9" max="9" width="11.6328125" style="34" bestFit="1" customWidth="1"/>
    <col min="10" max="10" width="9.453125" style="34" bestFit="1" customWidth="1"/>
    <col min="11" max="11" width="10.7265625" style="34" bestFit="1" customWidth="1"/>
    <col min="12" max="12" width="19" style="34" customWidth="1"/>
    <col min="13" max="13" width="14.08984375" style="34" bestFit="1" customWidth="1"/>
    <col min="14" max="14" width="23.90625" style="34" customWidth="1"/>
    <col min="15" max="15" width="20.90625" style="34" bestFit="1" customWidth="1"/>
    <col min="16" max="16" width="38.7265625" style="34" bestFit="1" customWidth="1"/>
    <col min="17" max="16384" width="10" style="34"/>
  </cols>
  <sheetData>
    <row r="1" spans="2:56" s="29" customFormat="1" ht="13.5" customHeight="1" x14ac:dyDescent="0.2"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</row>
    <row r="2" spans="2:56" x14ac:dyDescent="0.2">
      <c r="B2" s="32" t="s">
        <v>65</v>
      </c>
      <c r="C2" s="33" t="s">
        <v>374</v>
      </c>
      <c r="D2" s="32" t="s">
        <v>66</v>
      </c>
      <c r="E2" s="31" t="s">
        <v>264</v>
      </c>
      <c r="M2" s="32" t="s">
        <v>67</v>
      </c>
      <c r="N2" s="33" t="s">
        <v>14</v>
      </c>
      <c r="O2" s="32" t="s">
        <v>68</v>
      </c>
      <c r="P2" s="33" t="s">
        <v>69</v>
      </c>
    </row>
    <row r="3" spans="2:56" x14ac:dyDescent="0.2">
      <c r="B3" s="32" t="s">
        <v>70</v>
      </c>
      <c r="C3" s="31" t="s">
        <v>31</v>
      </c>
      <c r="D3" s="32" t="s">
        <v>71</v>
      </c>
      <c r="E3" s="31" t="s">
        <v>265</v>
      </c>
      <c r="M3" s="32" t="s">
        <v>72</v>
      </c>
      <c r="N3" s="33" t="s">
        <v>73</v>
      </c>
      <c r="O3" s="32" t="s">
        <v>74</v>
      </c>
      <c r="P3" s="33" t="s">
        <v>75</v>
      </c>
    </row>
    <row r="5" spans="2:56" ht="25.5" customHeight="1" x14ac:dyDescent="0.2">
      <c r="B5" s="32" t="s">
        <v>76</v>
      </c>
      <c r="C5" s="32" t="s">
        <v>77</v>
      </c>
      <c r="D5" s="32" t="s">
        <v>78</v>
      </c>
      <c r="E5" s="32" t="s">
        <v>79</v>
      </c>
      <c r="F5" s="32" t="s">
        <v>80</v>
      </c>
      <c r="G5" s="32" t="s">
        <v>81</v>
      </c>
      <c r="H5" s="32" t="s">
        <v>82</v>
      </c>
      <c r="I5" s="32" t="s">
        <v>83</v>
      </c>
      <c r="J5" s="32" t="s">
        <v>84</v>
      </c>
      <c r="K5" s="32" t="s">
        <v>85</v>
      </c>
      <c r="L5" s="32" t="s">
        <v>86</v>
      </c>
      <c r="M5" s="32" t="s">
        <v>87</v>
      </c>
      <c r="N5" s="32" t="s">
        <v>88</v>
      </c>
      <c r="O5" s="32" t="s">
        <v>89</v>
      </c>
      <c r="P5" s="32" t="s">
        <v>90</v>
      </c>
    </row>
    <row r="6" spans="2:56" ht="30.75" customHeight="1" x14ac:dyDescent="0.2">
      <c r="B6" s="44">
        <f>ROW()-5</f>
        <v>1</v>
      </c>
      <c r="C6" s="31" t="s">
        <v>259</v>
      </c>
      <c r="D6" s="31" t="s">
        <v>266</v>
      </c>
      <c r="E6" s="33" t="s">
        <v>126</v>
      </c>
      <c r="F6" s="31" t="s">
        <v>93</v>
      </c>
      <c r="G6" s="31"/>
      <c r="H6" s="33"/>
      <c r="I6" s="33"/>
      <c r="J6" s="31" t="s">
        <v>93</v>
      </c>
      <c r="K6" s="33" t="s">
        <v>94</v>
      </c>
      <c r="L6" s="33">
        <v>10</v>
      </c>
      <c r="M6" s="31" t="s">
        <v>93</v>
      </c>
      <c r="N6" s="31" t="s">
        <v>137</v>
      </c>
      <c r="O6" s="33">
        <v>1000000001</v>
      </c>
      <c r="P6" s="33"/>
    </row>
    <row r="7" spans="2:56" ht="30.75" customHeight="1" x14ac:dyDescent="0.2">
      <c r="B7" s="44">
        <f t="shared" ref="B7:B16" si="0">ROW()-5</f>
        <v>2</v>
      </c>
      <c r="C7" s="31" t="s">
        <v>260</v>
      </c>
      <c r="D7" s="31" t="s">
        <v>267</v>
      </c>
      <c r="E7" s="31"/>
      <c r="F7" s="31"/>
      <c r="G7" s="31"/>
      <c r="H7" s="33"/>
      <c r="I7" s="33"/>
      <c r="J7" s="31" t="s">
        <v>93</v>
      </c>
      <c r="K7" s="31" t="s">
        <v>94</v>
      </c>
      <c r="L7" s="31">
        <v>40</v>
      </c>
      <c r="M7" s="31" t="s">
        <v>93</v>
      </c>
      <c r="N7" s="31" t="s">
        <v>137</v>
      </c>
      <c r="O7" s="33" t="s">
        <v>268</v>
      </c>
      <c r="P7" s="33"/>
    </row>
    <row r="8" spans="2:56" ht="30.75" customHeight="1" x14ac:dyDescent="0.2">
      <c r="B8" s="44">
        <f t="shared" si="0"/>
        <v>3</v>
      </c>
      <c r="C8" s="31" t="s">
        <v>269</v>
      </c>
      <c r="D8" s="31" t="s">
        <v>270</v>
      </c>
      <c r="E8" s="31"/>
      <c r="F8" s="33"/>
      <c r="G8" s="33"/>
      <c r="H8" s="33"/>
      <c r="I8" s="33"/>
      <c r="J8" s="33"/>
      <c r="K8" s="33" t="s">
        <v>94</v>
      </c>
      <c r="L8" s="33">
        <v>10</v>
      </c>
      <c r="M8" s="33"/>
      <c r="N8" s="31" t="s">
        <v>137</v>
      </c>
      <c r="O8" s="33">
        <v>1000000001</v>
      </c>
      <c r="P8" s="33"/>
    </row>
    <row r="9" spans="2:56" ht="30.75" customHeight="1" x14ac:dyDescent="0.2">
      <c r="B9" s="44">
        <f t="shared" si="0"/>
        <v>4</v>
      </c>
      <c r="C9" s="33" t="s">
        <v>105</v>
      </c>
      <c r="D9" s="33" t="s">
        <v>106</v>
      </c>
      <c r="E9" s="33" t="s">
        <v>107</v>
      </c>
      <c r="F9" s="33"/>
      <c r="G9" s="33"/>
      <c r="H9" s="33"/>
      <c r="I9" s="33"/>
      <c r="J9" s="33"/>
      <c r="K9" s="33" t="s">
        <v>108</v>
      </c>
      <c r="L9" s="33" t="s">
        <v>109</v>
      </c>
      <c r="M9" s="33" t="s">
        <v>93</v>
      </c>
      <c r="N9" s="33" t="s">
        <v>110</v>
      </c>
      <c r="O9" s="33" t="s">
        <v>110</v>
      </c>
      <c r="P9" s="33" t="s">
        <v>110</v>
      </c>
    </row>
    <row r="10" spans="2:56" ht="30.75" customHeight="1" x14ac:dyDescent="0.2">
      <c r="B10" s="44">
        <f t="shared" si="0"/>
        <v>5</v>
      </c>
      <c r="C10" s="33" t="s">
        <v>350</v>
      </c>
      <c r="D10" s="33" t="s">
        <v>111</v>
      </c>
      <c r="E10" s="33" t="s">
        <v>356</v>
      </c>
      <c r="F10" s="33"/>
      <c r="G10" s="33"/>
      <c r="H10" s="33"/>
      <c r="I10" s="33"/>
      <c r="J10" s="33"/>
      <c r="K10" s="33" t="s">
        <v>94</v>
      </c>
      <c r="L10" s="33" t="s">
        <v>355</v>
      </c>
      <c r="M10" s="33" t="s">
        <v>93</v>
      </c>
      <c r="N10" s="33" t="s">
        <v>111</v>
      </c>
      <c r="O10" s="33" t="s">
        <v>111</v>
      </c>
      <c r="P10" s="33" t="s">
        <v>353</v>
      </c>
    </row>
    <row r="11" spans="2:56" ht="30.75" customHeight="1" x14ac:dyDescent="0.2">
      <c r="B11" s="44">
        <f t="shared" si="0"/>
        <v>6</v>
      </c>
      <c r="C11" s="33" t="s">
        <v>112</v>
      </c>
      <c r="D11" s="33" t="s">
        <v>113</v>
      </c>
      <c r="E11" s="33" t="s">
        <v>107</v>
      </c>
      <c r="F11" s="33"/>
      <c r="G11" s="33"/>
      <c r="H11" s="33"/>
      <c r="I11" s="33"/>
      <c r="J11" s="33"/>
      <c r="K11" s="33" t="s">
        <v>108</v>
      </c>
      <c r="L11" s="33" t="s">
        <v>109</v>
      </c>
      <c r="M11" s="33" t="s">
        <v>93</v>
      </c>
      <c r="N11" s="33" t="s">
        <v>110</v>
      </c>
      <c r="O11" s="33" t="s">
        <v>114</v>
      </c>
      <c r="P11" s="33" t="s">
        <v>114</v>
      </c>
    </row>
    <row r="12" spans="2:56" ht="30.75" customHeight="1" x14ac:dyDescent="0.2">
      <c r="B12" s="44">
        <f t="shared" si="0"/>
        <v>7</v>
      </c>
      <c r="C12" s="33" t="s">
        <v>351</v>
      </c>
      <c r="D12" s="33" t="s">
        <v>115</v>
      </c>
      <c r="E12" s="33" t="s">
        <v>348</v>
      </c>
      <c r="F12" s="33"/>
      <c r="G12" s="33"/>
      <c r="H12" s="33"/>
      <c r="I12" s="33"/>
      <c r="J12" s="33"/>
      <c r="K12" s="33" t="s">
        <v>94</v>
      </c>
      <c r="L12" s="33" t="s">
        <v>355</v>
      </c>
      <c r="M12" s="33" t="s">
        <v>93</v>
      </c>
      <c r="N12" s="33" t="s">
        <v>116</v>
      </c>
      <c r="O12" s="33" t="s">
        <v>116</v>
      </c>
      <c r="P12" s="36" t="s">
        <v>354</v>
      </c>
    </row>
    <row r="13" spans="2:56" ht="30.75" customHeight="1" x14ac:dyDescent="0.2">
      <c r="B13" s="44">
        <f t="shared" si="0"/>
        <v>8</v>
      </c>
      <c r="C13" s="33" t="s">
        <v>117</v>
      </c>
      <c r="D13" s="33" t="s">
        <v>118</v>
      </c>
      <c r="E13" s="36" t="s">
        <v>352</v>
      </c>
      <c r="F13" s="33"/>
      <c r="G13" s="33"/>
      <c r="H13" s="33"/>
      <c r="I13" s="33"/>
      <c r="J13" s="33"/>
      <c r="K13" s="33" t="s">
        <v>119</v>
      </c>
      <c r="L13" s="33" t="s">
        <v>355</v>
      </c>
      <c r="M13" s="33" t="s">
        <v>93</v>
      </c>
      <c r="N13" s="33" t="s">
        <v>120</v>
      </c>
      <c r="O13" s="33"/>
      <c r="P13" s="36" t="s">
        <v>352</v>
      </c>
    </row>
    <row r="14" spans="2:56" ht="30.75" customHeight="1" x14ac:dyDescent="0.2">
      <c r="B14" s="44">
        <f t="shared" si="0"/>
        <v>9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</row>
    <row r="15" spans="2:56" ht="30.75" customHeight="1" x14ac:dyDescent="0.2">
      <c r="B15" s="44">
        <f t="shared" si="0"/>
        <v>10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6"/>
    </row>
    <row r="16" spans="2:56" x14ac:dyDescent="0.2">
      <c r="B16" s="44">
        <f t="shared" si="0"/>
        <v>11</v>
      </c>
      <c r="C16" s="33"/>
      <c r="D16" s="33"/>
      <c r="E16" s="36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6"/>
    </row>
  </sheetData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/>
  <headerFooter>
    <oddFooter>&amp;P / &amp;N ページ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BD16"/>
  <sheetViews>
    <sheetView showGridLines="0" zoomScale="85" zoomScaleNormal="85" workbookViewId="0">
      <selection activeCell="C2" sqref="C2"/>
    </sheetView>
  </sheetViews>
  <sheetFormatPr defaultColWidth="10" defaultRowHeight="15" x14ac:dyDescent="0.2"/>
  <cols>
    <col min="1" max="1" width="4.453125" style="34" customWidth="1"/>
    <col min="2" max="2" width="10" style="34"/>
    <col min="3" max="3" width="14" style="34" bestFit="1" customWidth="1"/>
    <col min="4" max="4" width="15.36328125" style="34" customWidth="1"/>
    <col min="5" max="5" width="25.90625" style="34" bestFit="1" customWidth="1"/>
    <col min="6" max="7" width="9.36328125" style="34" bestFit="1" customWidth="1"/>
    <col min="8" max="8" width="13.36328125" style="34" bestFit="1" customWidth="1"/>
    <col min="9" max="9" width="11.6328125" style="34" bestFit="1" customWidth="1"/>
    <col min="10" max="10" width="9.453125" style="34" bestFit="1" customWidth="1"/>
    <col min="11" max="11" width="10.7265625" style="34" bestFit="1" customWidth="1"/>
    <col min="12" max="12" width="19" style="34" customWidth="1"/>
    <col min="13" max="13" width="14.08984375" style="34" bestFit="1" customWidth="1"/>
    <col min="14" max="14" width="23.90625" style="34" customWidth="1"/>
    <col min="15" max="15" width="20.90625" style="34" bestFit="1" customWidth="1"/>
    <col min="16" max="16" width="38.7265625" style="34" bestFit="1" customWidth="1"/>
    <col min="17" max="16384" width="10" style="34"/>
  </cols>
  <sheetData>
    <row r="1" spans="2:56" s="29" customFormat="1" ht="13.5" customHeight="1" x14ac:dyDescent="0.2"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</row>
    <row r="2" spans="2:56" x14ac:dyDescent="0.2">
      <c r="B2" s="32" t="s">
        <v>65</v>
      </c>
      <c r="C2" s="33" t="s">
        <v>374</v>
      </c>
      <c r="D2" s="32" t="s">
        <v>66</v>
      </c>
      <c r="E2" s="31" t="s">
        <v>271</v>
      </c>
      <c r="M2" s="32" t="s">
        <v>67</v>
      </c>
      <c r="N2" s="33" t="s">
        <v>14</v>
      </c>
      <c r="O2" s="32" t="s">
        <v>68</v>
      </c>
      <c r="P2" s="33" t="s">
        <v>69</v>
      </c>
    </row>
    <row r="3" spans="2:56" x14ac:dyDescent="0.2">
      <c r="B3" s="32" t="s">
        <v>70</v>
      </c>
      <c r="C3" s="31" t="s">
        <v>31</v>
      </c>
      <c r="D3" s="32" t="s">
        <v>71</v>
      </c>
      <c r="E3" s="31" t="s">
        <v>272</v>
      </c>
      <c r="M3" s="32" t="s">
        <v>72</v>
      </c>
      <c r="N3" s="33" t="s">
        <v>73</v>
      </c>
      <c r="O3" s="32" t="s">
        <v>74</v>
      </c>
      <c r="P3" s="33" t="s">
        <v>75</v>
      </c>
    </row>
    <row r="5" spans="2:56" ht="25.5" customHeight="1" x14ac:dyDescent="0.2">
      <c r="B5" s="32" t="s">
        <v>76</v>
      </c>
      <c r="C5" s="32" t="s">
        <v>77</v>
      </c>
      <c r="D5" s="32" t="s">
        <v>78</v>
      </c>
      <c r="E5" s="32" t="s">
        <v>79</v>
      </c>
      <c r="F5" s="32" t="s">
        <v>80</v>
      </c>
      <c r="G5" s="32" t="s">
        <v>81</v>
      </c>
      <c r="H5" s="32" t="s">
        <v>82</v>
      </c>
      <c r="I5" s="32" t="s">
        <v>83</v>
      </c>
      <c r="J5" s="32" t="s">
        <v>84</v>
      </c>
      <c r="K5" s="32" t="s">
        <v>85</v>
      </c>
      <c r="L5" s="32" t="s">
        <v>86</v>
      </c>
      <c r="M5" s="32" t="s">
        <v>87</v>
      </c>
      <c r="N5" s="32" t="s">
        <v>88</v>
      </c>
      <c r="O5" s="32" t="s">
        <v>89</v>
      </c>
      <c r="P5" s="32" t="s">
        <v>90</v>
      </c>
    </row>
    <row r="6" spans="2:56" ht="30.75" customHeight="1" x14ac:dyDescent="0.2">
      <c r="B6" s="44">
        <f>ROW()-5</f>
        <v>1</v>
      </c>
      <c r="C6" s="31" t="s">
        <v>273</v>
      </c>
      <c r="D6" s="31" t="s">
        <v>266</v>
      </c>
      <c r="E6" s="33" t="s">
        <v>126</v>
      </c>
      <c r="F6" s="31" t="s">
        <v>93</v>
      </c>
      <c r="G6" s="31"/>
      <c r="H6" s="33"/>
      <c r="I6" s="33"/>
      <c r="J6" s="31" t="s">
        <v>93</v>
      </c>
      <c r="K6" s="33" t="s">
        <v>94</v>
      </c>
      <c r="L6" s="33">
        <v>10</v>
      </c>
      <c r="M6" s="31" t="s">
        <v>93</v>
      </c>
      <c r="N6" s="31" t="s">
        <v>137</v>
      </c>
      <c r="O6" s="33">
        <v>1000000001</v>
      </c>
      <c r="P6" s="33"/>
    </row>
    <row r="7" spans="2:56" ht="30.75" customHeight="1" x14ac:dyDescent="0.2">
      <c r="B7" s="44">
        <f t="shared" ref="B7:B16" si="0">ROW()-5</f>
        <v>2</v>
      </c>
      <c r="C7" s="31"/>
      <c r="D7" s="31" t="s">
        <v>45</v>
      </c>
      <c r="E7" s="31"/>
      <c r="F7" s="31"/>
      <c r="G7" s="31"/>
      <c r="H7" s="33"/>
      <c r="I7" s="33"/>
      <c r="J7" s="31" t="s">
        <v>93</v>
      </c>
      <c r="K7" s="31" t="s">
        <v>94</v>
      </c>
      <c r="L7" s="31">
        <v>40</v>
      </c>
      <c r="M7" s="31" t="s">
        <v>93</v>
      </c>
      <c r="N7" s="31" t="s">
        <v>137</v>
      </c>
      <c r="O7" s="33" t="s">
        <v>268</v>
      </c>
      <c r="P7" s="33"/>
    </row>
    <row r="8" spans="2:56" ht="30.75" customHeight="1" x14ac:dyDescent="0.2">
      <c r="B8" s="44">
        <f t="shared" si="0"/>
        <v>3</v>
      </c>
      <c r="C8" s="33"/>
      <c r="D8" s="33" t="s">
        <v>182</v>
      </c>
      <c r="E8" s="33" t="s">
        <v>359</v>
      </c>
      <c r="F8" s="33"/>
      <c r="G8" s="33"/>
      <c r="H8" s="33"/>
      <c r="I8" s="33"/>
      <c r="J8" s="33"/>
      <c r="K8" s="33" t="s">
        <v>357</v>
      </c>
      <c r="L8" s="33" t="s">
        <v>358</v>
      </c>
      <c r="M8" s="33" t="s">
        <v>93</v>
      </c>
      <c r="N8" s="33" t="s">
        <v>305</v>
      </c>
      <c r="O8" s="33" t="s">
        <v>305</v>
      </c>
      <c r="P8" s="33" t="s">
        <v>359</v>
      </c>
    </row>
    <row r="9" spans="2:56" ht="30.75" customHeight="1" x14ac:dyDescent="0.2">
      <c r="B9" s="44">
        <f t="shared" si="0"/>
        <v>4</v>
      </c>
      <c r="C9" s="33" t="s">
        <v>105</v>
      </c>
      <c r="D9" s="33" t="s">
        <v>106</v>
      </c>
      <c r="E9" s="33" t="s">
        <v>107</v>
      </c>
      <c r="F9" s="33"/>
      <c r="G9" s="33"/>
      <c r="H9" s="33"/>
      <c r="I9" s="33"/>
      <c r="J9" s="33"/>
      <c r="K9" s="33" t="s">
        <v>108</v>
      </c>
      <c r="L9" s="33" t="s">
        <v>109</v>
      </c>
      <c r="M9" s="33" t="s">
        <v>93</v>
      </c>
      <c r="N9" s="33" t="s">
        <v>110</v>
      </c>
      <c r="O9" s="33" t="s">
        <v>110</v>
      </c>
      <c r="P9" s="33" t="s">
        <v>110</v>
      </c>
    </row>
    <row r="10" spans="2:56" ht="30.75" customHeight="1" x14ac:dyDescent="0.2">
      <c r="B10" s="44">
        <f t="shared" si="0"/>
        <v>5</v>
      </c>
      <c r="C10" s="33" t="s">
        <v>350</v>
      </c>
      <c r="D10" s="33" t="s">
        <v>111</v>
      </c>
      <c r="E10" s="33" t="s">
        <v>356</v>
      </c>
      <c r="F10" s="33"/>
      <c r="G10" s="33"/>
      <c r="H10" s="33"/>
      <c r="I10" s="33"/>
      <c r="J10" s="33"/>
      <c r="K10" s="33" t="s">
        <v>94</v>
      </c>
      <c r="L10" s="33" t="s">
        <v>355</v>
      </c>
      <c r="M10" s="33" t="s">
        <v>93</v>
      </c>
      <c r="N10" s="33" t="s">
        <v>111</v>
      </c>
      <c r="O10" s="33" t="s">
        <v>111</v>
      </c>
      <c r="P10" s="33" t="s">
        <v>353</v>
      </c>
    </row>
    <row r="11" spans="2:56" ht="30.75" customHeight="1" x14ac:dyDescent="0.2">
      <c r="B11" s="44">
        <f t="shared" si="0"/>
        <v>6</v>
      </c>
      <c r="C11" s="33" t="s">
        <v>112</v>
      </c>
      <c r="D11" s="33" t="s">
        <v>113</v>
      </c>
      <c r="E11" s="33" t="s">
        <v>107</v>
      </c>
      <c r="F11" s="33"/>
      <c r="G11" s="33"/>
      <c r="H11" s="33"/>
      <c r="I11" s="33"/>
      <c r="J11" s="33"/>
      <c r="K11" s="33" t="s">
        <v>108</v>
      </c>
      <c r="L11" s="33" t="s">
        <v>109</v>
      </c>
      <c r="M11" s="33" t="s">
        <v>93</v>
      </c>
      <c r="N11" s="33" t="s">
        <v>110</v>
      </c>
      <c r="O11" s="33" t="s">
        <v>114</v>
      </c>
      <c r="P11" s="33" t="s">
        <v>114</v>
      </c>
    </row>
    <row r="12" spans="2:56" ht="30.75" customHeight="1" x14ac:dyDescent="0.2">
      <c r="B12" s="44">
        <f t="shared" si="0"/>
        <v>7</v>
      </c>
      <c r="C12" s="33" t="s">
        <v>351</v>
      </c>
      <c r="D12" s="33" t="s">
        <v>115</v>
      </c>
      <c r="E12" s="33" t="s">
        <v>348</v>
      </c>
      <c r="F12" s="33"/>
      <c r="G12" s="33"/>
      <c r="H12" s="33"/>
      <c r="I12" s="33"/>
      <c r="J12" s="33"/>
      <c r="K12" s="33" t="s">
        <v>94</v>
      </c>
      <c r="L12" s="33" t="s">
        <v>355</v>
      </c>
      <c r="M12" s="33" t="s">
        <v>93</v>
      </c>
      <c r="N12" s="33" t="s">
        <v>116</v>
      </c>
      <c r="O12" s="33" t="s">
        <v>116</v>
      </c>
      <c r="P12" s="36" t="s">
        <v>354</v>
      </c>
    </row>
    <row r="13" spans="2:56" ht="30.75" customHeight="1" x14ac:dyDescent="0.2">
      <c r="B13" s="44">
        <f t="shared" si="0"/>
        <v>8</v>
      </c>
      <c r="C13" s="33" t="s">
        <v>117</v>
      </c>
      <c r="D13" s="33" t="s">
        <v>118</v>
      </c>
      <c r="E13" s="36" t="s">
        <v>352</v>
      </c>
      <c r="F13" s="33"/>
      <c r="G13" s="33"/>
      <c r="H13" s="33"/>
      <c r="I13" s="33"/>
      <c r="J13" s="33"/>
      <c r="K13" s="33" t="s">
        <v>119</v>
      </c>
      <c r="L13" s="33" t="s">
        <v>355</v>
      </c>
      <c r="M13" s="33" t="s">
        <v>93</v>
      </c>
      <c r="N13" s="33" t="s">
        <v>120</v>
      </c>
      <c r="O13" s="33"/>
      <c r="P13" s="36" t="s">
        <v>352</v>
      </c>
    </row>
    <row r="14" spans="2:56" ht="30.75" customHeight="1" x14ac:dyDescent="0.2">
      <c r="B14" s="44">
        <f t="shared" si="0"/>
        <v>9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</row>
    <row r="15" spans="2:56" ht="30.75" customHeight="1" x14ac:dyDescent="0.2">
      <c r="B15" s="44">
        <f t="shared" si="0"/>
        <v>10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6"/>
    </row>
    <row r="16" spans="2:56" x14ac:dyDescent="0.2">
      <c r="B16" s="44">
        <f t="shared" si="0"/>
        <v>11</v>
      </c>
      <c r="C16" s="33"/>
      <c r="D16" s="33"/>
      <c r="E16" s="36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6"/>
    </row>
  </sheetData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/>
  <headerFooter>
    <oddFooter>&amp;P / &amp;N ページ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BD35"/>
  <sheetViews>
    <sheetView showGridLines="0" zoomScale="85" zoomScaleNormal="85" workbookViewId="0">
      <selection activeCell="C2" sqref="C2"/>
    </sheetView>
  </sheetViews>
  <sheetFormatPr defaultColWidth="10" defaultRowHeight="15" x14ac:dyDescent="0.2"/>
  <cols>
    <col min="1" max="1" width="4.453125" style="34" customWidth="1"/>
    <col min="2" max="2" width="10" style="34"/>
    <col min="3" max="3" width="14" style="34" bestFit="1" customWidth="1"/>
    <col min="4" max="4" width="15.36328125" style="34" customWidth="1"/>
    <col min="5" max="5" width="36.90625" style="34" bestFit="1" customWidth="1"/>
    <col min="6" max="7" width="9.36328125" style="34" bestFit="1" customWidth="1"/>
    <col min="8" max="8" width="13.36328125" style="34" bestFit="1" customWidth="1"/>
    <col min="9" max="9" width="11.6328125" style="34" bestFit="1" customWidth="1"/>
    <col min="10" max="10" width="9.453125" style="34" bestFit="1" customWidth="1"/>
    <col min="11" max="11" width="10.7265625" style="34" bestFit="1" customWidth="1"/>
    <col min="12" max="12" width="19" style="34" customWidth="1"/>
    <col min="13" max="13" width="14.08984375" style="34" bestFit="1" customWidth="1"/>
    <col min="14" max="14" width="23.90625" style="34" customWidth="1"/>
    <col min="15" max="15" width="20.90625" style="34" bestFit="1" customWidth="1"/>
    <col min="16" max="16" width="38.7265625" style="34" bestFit="1" customWidth="1"/>
    <col min="17" max="16384" width="10" style="34"/>
  </cols>
  <sheetData>
    <row r="1" spans="2:56" s="29" customFormat="1" ht="13.5" customHeight="1" x14ac:dyDescent="0.2"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</row>
    <row r="2" spans="2:56" x14ac:dyDescent="0.2">
      <c r="B2" s="32" t="s">
        <v>65</v>
      </c>
      <c r="C2" s="33" t="s">
        <v>374</v>
      </c>
      <c r="D2" s="32" t="s">
        <v>66</v>
      </c>
      <c r="E2" s="31" t="s">
        <v>274</v>
      </c>
      <c r="M2" s="32" t="s">
        <v>67</v>
      </c>
      <c r="N2" s="33" t="s">
        <v>14</v>
      </c>
      <c r="O2" s="32" t="s">
        <v>68</v>
      </c>
      <c r="P2" s="33" t="s">
        <v>69</v>
      </c>
    </row>
    <row r="3" spans="2:56" x14ac:dyDescent="0.2">
      <c r="B3" s="32" t="s">
        <v>70</v>
      </c>
      <c r="C3" s="31" t="s">
        <v>31</v>
      </c>
      <c r="D3" s="32" t="s">
        <v>71</v>
      </c>
      <c r="E3" s="31" t="s">
        <v>275</v>
      </c>
      <c r="M3" s="32" t="s">
        <v>72</v>
      </c>
      <c r="N3" s="33" t="s">
        <v>73</v>
      </c>
      <c r="O3" s="32" t="s">
        <v>74</v>
      </c>
      <c r="P3" s="33" t="s">
        <v>75</v>
      </c>
    </row>
    <row r="5" spans="2:56" ht="25.5" customHeight="1" x14ac:dyDescent="0.2">
      <c r="B5" s="32" t="s">
        <v>76</v>
      </c>
      <c r="C5" s="32" t="s">
        <v>77</v>
      </c>
      <c r="D5" s="32" t="s">
        <v>78</v>
      </c>
      <c r="E5" s="32" t="s">
        <v>79</v>
      </c>
      <c r="F5" s="32" t="s">
        <v>80</v>
      </c>
      <c r="G5" s="32" t="s">
        <v>81</v>
      </c>
      <c r="H5" s="32" t="s">
        <v>82</v>
      </c>
      <c r="I5" s="32" t="s">
        <v>83</v>
      </c>
      <c r="J5" s="32" t="s">
        <v>84</v>
      </c>
      <c r="K5" s="32" t="s">
        <v>85</v>
      </c>
      <c r="L5" s="32" t="s">
        <v>86</v>
      </c>
      <c r="M5" s="32" t="s">
        <v>87</v>
      </c>
      <c r="N5" s="32" t="s">
        <v>88</v>
      </c>
      <c r="O5" s="32" t="s">
        <v>89</v>
      </c>
      <c r="P5" s="32" t="s">
        <v>90</v>
      </c>
    </row>
    <row r="6" spans="2:56" ht="30.75" customHeight="1" x14ac:dyDescent="0.2">
      <c r="B6" s="44">
        <f>ROW()-5</f>
        <v>1</v>
      </c>
      <c r="C6" s="31" t="s">
        <v>259</v>
      </c>
      <c r="D6" s="31" t="s">
        <v>276</v>
      </c>
      <c r="E6" s="33" t="s">
        <v>277</v>
      </c>
      <c r="F6" s="31" t="s">
        <v>93</v>
      </c>
      <c r="G6" s="31" t="s">
        <v>93</v>
      </c>
      <c r="H6" s="33"/>
      <c r="I6" s="33"/>
      <c r="J6" s="31"/>
      <c r="K6" s="33" t="s">
        <v>94</v>
      </c>
      <c r="L6" s="33">
        <v>10</v>
      </c>
      <c r="M6" s="31" t="s">
        <v>93</v>
      </c>
      <c r="N6" s="31" t="s">
        <v>137</v>
      </c>
      <c r="O6" s="33">
        <v>1000000001</v>
      </c>
      <c r="P6" s="31"/>
    </row>
    <row r="7" spans="2:56" ht="30.75" customHeight="1" x14ac:dyDescent="0.2">
      <c r="B7" s="44">
        <f t="shared" ref="B7:B35" si="0">ROW()-5</f>
        <v>2</v>
      </c>
      <c r="C7" s="33"/>
      <c r="D7" s="33" t="s">
        <v>278</v>
      </c>
      <c r="E7" s="33"/>
      <c r="F7" s="31"/>
      <c r="G7" s="33"/>
      <c r="H7" s="33"/>
      <c r="I7" s="33"/>
      <c r="J7" s="31"/>
      <c r="K7" s="33"/>
      <c r="L7" s="33"/>
      <c r="M7" s="33"/>
      <c r="N7" s="33"/>
      <c r="O7" s="33" t="s">
        <v>279</v>
      </c>
      <c r="P7" s="33"/>
    </row>
    <row r="8" spans="2:56" ht="30.75" customHeight="1" x14ac:dyDescent="0.2">
      <c r="B8" s="44">
        <f t="shared" si="0"/>
        <v>3</v>
      </c>
      <c r="C8" s="31"/>
      <c r="D8" s="31" t="s">
        <v>280</v>
      </c>
      <c r="E8" s="31"/>
      <c r="F8" s="33"/>
      <c r="G8" s="31"/>
      <c r="H8" s="33"/>
      <c r="I8" s="33"/>
      <c r="J8" s="33"/>
      <c r="K8" s="33"/>
      <c r="L8" s="33"/>
      <c r="M8" s="31"/>
      <c r="N8" s="31"/>
      <c r="O8" s="33" t="s">
        <v>281</v>
      </c>
      <c r="P8" s="31"/>
    </row>
    <row r="9" spans="2:56" ht="30.75" customHeight="1" x14ac:dyDescent="0.2">
      <c r="B9" s="44">
        <f t="shared" si="0"/>
        <v>4</v>
      </c>
      <c r="C9" s="31" t="s">
        <v>282</v>
      </c>
      <c r="D9" s="31" t="s">
        <v>283</v>
      </c>
      <c r="E9" s="31"/>
      <c r="F9" s="33"/>
      <c r="G9" s="31"/>
      <c r="H9" s="33"/>
      <c r="I9" s="33"/>
      <c r="J9" s="33"/>
      <c r="K9" s="33"/>
      <c r="L9" s="33"/>
      <c r="M9" s="31"/>
      <c r="N9" s="31"/>
      <c r="O9" s="33" t="s">
        <v>284</v>
      </c>
      <c r="P9" s="31"/>
    </row>
    <row r="10" spans="2:56" ht="30.75" customHeight="1" x14ac:dyDescent="0.2">
      <c r="B10" s="44">
        <f t="shared" si="0"/>
        <v>5</v>
      </c>
      <c r="C10" s="31"/>
      <c r="D10" s="31" t="s">
        <v>285</v>
      </c>
      <c r="E10" s="31"/>
      <c r="F10" s="33"/>
      <c r="G10" s="31"/>
      <c r="H10" s="33"/>
      <c r="I10" s="33"/>
      <c r="J10" s="33"/>
      <c r="K10" s="31"/>
      <c r="L10" s="31"/>
      <c r="M10" s="31"/>
      <c r="N10" s="31"/>
      <c r="O10" s="33" t="s">
        <v>286</v>
      </c>
      <c r="P10" s="31"/>
    </row>
    <row r="11" spans="2:56" ht="30.75" customHeight="1" x14ac:dyDescent="0.2">
      <c r="B11" s="44">
        <f t="shared" si="0"/>
        <v>6</v>
      </c>
      <c r="C11" s="33"/>
      <c r="D11" s="33" t="s">
        <v>195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 t="s">
        <v>287</v>
      </c>
      <c r="P11" s="33"/>
    </row>
    <row r="12" spans="2:56" ht="30.75" customHeight="1" x14ac:dyDescent="0.2">
      <c r="B12" s="44">
        <f t="shared" si="0"/>
        <v>7</v>
      </c>
      <c r="C12" s="31"/>
      <c r="D12" s="31" t="s">
        <v>189</v>
      </c>
      <c r="E12" s="31"/>
      <c r="F12" s="33"/>
      <c r="G12" s="31"/>
      <c r="H12" s="33"/>
      <c r="I12" s="33"/>
      <c r="J12" s="33"/>
      <c r="K12" s="31"/>
      <c r="L12" s="31"/>
      <c r="M12" s="31"/>
      <c r="N12" s="31"/>
      <c r="O12" s="33" t="s">
        <v>288</v>
      </c>
      <c r="P12" s="31"/>
    </row>
    <row r="13" spans="2:56" ht="30.75" customHeight="1" x14ac:dyDescent="0.2">
      <c r="B13" s="44">
        <f t="shared" si="0"/>
        <v>8</v>
      </c>
      <c r="C13" s="31"/>
      <c r="D13" s="31" t="s">
        <v>289</v>
      </c>
      <c r="E13" s="31"/>
      <c r="F13" s="33"/>
      <c r="G13" s="31"/>
      <c r="H13" s="33"/>
      <c r="I13" s="33"/>
      <c r="J13" s="33"/>
      <c r="K13" s="31"/>
      <c r="L13" s="31"/>
      <c r="M13" s="31"/>
      <c r="N13" s="31"/>
      <c r="O13" s="33" t="s">
        <v>290</v>
      </c>
      <c r="P13" s="31"/>
    </row>
    <row r="14" spans="2:56" ht="30.75" customHeight="1" x14ac:dyDescent="0.2">
      <c r="B14" s="44">
        <f t="shared" si="0"/>
        <v>9</v>
      </c>
      <c r="C14" s="31" t="s">
        <v>291</v>
      </c>
      <c r="D14" s="31" t="s">
        <v>292</v>
      </c>
      <c r="E14" s="31"/>
      <c r="F14" s="33"/>
      <c r="G14" s="31"/>
      <c r="H14" s="33"/>
      <c r="I14" s="33"/>
      <c r="J14" s="33"/>
      <c r="K14" s="31"/>
      <c r="L14" s="31"/>
      <c r="M14" s="31"/>
      <c r="N14" s="31"/>
      <c r="O14" s="33" t="s">
        <v>293</v>
      </c>
      <c r="P14" s="31"/>
    </row>
    <row r="15" spans="2:56" ht="30.75" customHeight="1" x14ac:dyDescent="0.2">
      <c r="B15" s="44">
        <f t="shared" si="0"/>
        <v>10</v>
      </c>
      <c r="C15" s="31"/>
      <c r="D15" s="31" t="s">
        <v>294</v>
      </c>
      <c r="E15" s="31"/>
      <c r="F15" s="33"/>
      <c r="G15" s="31"/>
      <c r="H15" s="33"/>
      <c r="I15" s="33"/>
      <c r="J15" s="33"/>
      <c r="K15" s="31"/>
      <c r="L15" s="31"/>
      <c r="M15" s="31"/>
      <c r="N15" s="31"/>
      <c r="O15" s="33" t="s">
        <v>295</v>
      </c>
      <c r="P15" s="31"/>
    </row>
    <row r="16" spans="2:56" x14ac:dyDescent="0.2">
      <c r="B16" s="44">
        <f t="shared" si="0"/>
        <v>11</v>
      </c>
      <c r="C16" s="31"/>
      <c r="D16" s="31" t="s">
        <v>296</v>
      </c>
      <c r="E16" s="31"/>
      <c r="F16" s="33"/>
      <c r="G16" s="31"/>
      <c r="H16" s="33"/>
      <c r="I16" s="33"/>
      <c r="J16" s="33"/>
      <c r="K16" s="31"/>
      <c r="L16" s="31"/>
      <c r="M16" s="31"/>
      <c r="N16" s="31"/>
      <c r="O16" s="33" t="s">
        <v>297</v>
      </c>
      <c r="P16" s="31"/>
    </row>
    <row r="17" spans="2:16" x14ac:dyDescent="0.2">
      <c r="B17" s="44">
        <f t="shared" si="0"/>
        <v>12</v>
      </c>
      <c r="C17" s="31"/>
      <c r="D17" s="31" t="s">
        <v>230</v>
      </c>
      <c r="E17" s="31"/>
      <c r="F17" s="33"/>
      <c r="G17" s="31"/>
      <c r="H17" s="33"/>
      <c r="I17" s="33"/>
      <c r="J17" s="33"/>
      <c r="K17" s="31"/>
      <c r="L17" s="31"/>
      <c r="M17" s="31"/>
      <c r="N17" s="31"/>
      <c r="O17" s="33" t="s">
        <v>298</v>
      </c>
      <c r="P17" s="31"/>
    </row>
    <row r="18" spans="2:16" x14ac:dyDescent="0.2">
      <c r="B18" s="44">
        <f t="shared" si="0"/>
        <v>13</v>
      </c>
      <c r="C18" s="31"/>
      <c r="D18" s="31" t="s">
        <v>299</v>
      </c>
      <c r="E18" s="31"/>
      <c r="F18" s="33"/>
      <c r="G18" s="31"/>
      <c r="H18" s="33"/>
      <c r="I18" s="33"/>
      <c r="J18" s="33"/>
      <c r="K18" s="31"/>
      <c r="L18" s="31"/>
      <c r="M18" s="31"/>
      <c r="N18" s="31"/>
      <c r="O18" s="33" t="s">
        <v>300</v>
      </c>
      <c r="P18" s="31"/>
    </row>
    <row r="19" spans="2:16" x14ac:dyDescent="0.2">
      <c r="B19" s="44">
        <f t="shared" si="0"/>
        <v>14</v>
      </c>
      <c r="C19" s="31"/>
      <c r="D19" s="31" t="s">
        <v>241</v>
      </c>
      <c r="E19" s="31"/>
      <c r="F19" s="33"/>
      <c r="G19" s="31"/>
      <c r="H19" s="33"/>
      <c r="I19" s="33"/>
      <c r="J19" s="33"/>
      <c r="K19" s="31"/>
      <c r="L19" s="31"/>
      <c r="M19" s="31"/>
      <c r="N19" s="31"/>
      <c r="O19" s="33" t="s">
        <v>301</v>
      </c>
      <c r="P19" s="31"/>
    </row>
    <row r="20" spans="2:16" x14ac:dyDescent="0.2">
      <c r="B20" s="44">
        <f t="shared" si="0"/>
        <v>15</v>
      </c>
      <c r="C20" s="31"/>
      <c r="D20" s="31" t="s">
        <v>239</v>
      </c>
      <c r="E20" s="31"/>
      <c r="F20" s="33"/>
      <c r="G20" s="31"/>
      <c r="H20" s="33"/>
      <c r="I20" s="33"/>
      <c r="J20" s="33"/>
      <c r="K20" s="31"/>
      <c r="L20" s="31"/>
      <c r="M20" s="31"/>
      <c r="N20" s="31"/>
      <c r="O20" s="33" t="s">
        <v>302</v>
      </c>
      <c r="P20" s="31"/>
    </row>
    <row r="21" spans="2:16" x14ac:dyDescent="0.2">
      <c r="B21" s="44">
        <f t="shared" si="0"/>
        <v>16</v>
      </c>
      <c r="C21" s="31"/>
      <c r="D21" s="31" t="s">
        <v>303</v>
      </c>
      <c r="E21" s="31"/>
      <c r="F21" s="33"/>
      <c r="G21" s="31"/>
      <c r="H21" s="33"/>
      <c r="I21" s="33"/>
      <c r="J21" s="33"/>
      <c r="K21" s="31"/>
      <c r="L21" s="31"/>
      <c r="M21" s="31"/>
      <c r="N21" s="31"/>
      <c r="O21" s="33" t="s">
        <v>298</v>
      </c>
      <c r="P21" s="31"/>
    </row>
    <row r="22" spans="2:16" x14ac:dyDescent="0.2">
      <c r="B22" s="44">
        <f t="shared" si="0"/>
        <v>17</v>
      </c>
      <c r="C22" s="31"/>
      <c r="D22" s="31" t="s">
        <v>304</v>
      </c>
      <c r="E22" s="31"/>
      <c r="F22" s="33"/>
      <c r="G22" s="31"/>
      <c r="H22" s="33"/>
      <c r="I22" s="33"/>
      <c r="J22" s="33"/>
      <c r="K22" s="31"/>
      <c r="L22" s="31"/>
      <c r="M22" s="31"/>
      <c r="N22" s="31"/>
      <c r="O22" s="33" t="s">
        <v>305</v>
      </c>
      <c r="P22" s="31"/>
    </row>
    <row r="23" spans="2:16" x14ac:dyDescent="0.2">
      <c r="B23" s="44">
        <f t="shared" si="0"/>
        <v>18</v>
      </c>
      <c r="C23" s="31"/>
      <c r="D23" s="31" t="s">
        <v>306</v>
      </c>
      <c r="E23" s="31"/>
      <c r="F23" s="33"/>
      <c r="G23" s="31"/>
      <c r="H23" s="33"/>
      <c r="I23" s="33"/>
      <c r="J23" s="33"/>
      <c r="K23" s="31"/>
      <c r="L23" s="31"/>
      <c r="M23" s="31"/>
      <c r="N23" s="31"/>
      <c r="O23" s="33" t="s">
        <v>307</v>
      </c>
      <c r="P23" s="31"/>
    </row>
    <row r="24" spans="2:16" x14ac:dyDescent="0.2">
      <c r="B24" s="44">
        <f t="shared" si="0"/>
        <v>19</v>
      </c>
      <c r="C24" s="31"/>
      <c r="D24" s="31" t="s">
        <v>308</v>
      </c>
      <c r="E24" s="31"/>
      <c r="F24" s="33"/>
      <c r="G24" s="31"/>
      <c r="H24" s="33"/>
      <c r="I24" s="33"/>
      <c r="J24" s="33"/>
      <c r="K24" s="31"/>
      <c r="L24" s="31"/>
      <c r="M24" s="31"/>
      <c r="N24" s="31"/>
      <c r="O24" s="33" t="s">
        <v>309</v>
      </c>
      <c r="P24" s="31"/>
    </row>
    <row r="25" spans="2:16" x14ac:dyDescent="0.2">
      <c r="B25" s="44">
        <f t="shared" si="0"/>
        <v>20</v>
      </c>
      <c r="C25" s="31"/>
      <c r="D25" s="31" t="s">
        <v>310</v>
      </c>
      <c r="E25" s="31"/>
      <c r="F25" s="33"/>
      <c r="G25" s="31"/>
      <c r="H25" s="33"/>
      <c r="I25" s="33"/>
      <c r="J25" s="33"/>
      <c r="K25" s="31"/>
      <c r="L25" s="31"/>
      <c r="M25" s="31"/>
      <c r="N25" s="31"/>
      <c r="O25" s="33" t="s">
        <v>75</v>
      </c>
      <c r="P25" s="31"/>
    </row>
    <row r="26" spans="2:16" x14ac:dyDescent="0.2">
      <c r="B26" s="44">
        <f t="shared" si="0"/>
        <v>21</v>
      </c>
      <c r="C26" s="31"/>
      <c r="D26" s="31" t="s">
        <v>311</v>
      </c>
      <c r="E26" s="31"/>
      <c r="F26" s="33"/>
      <c r="G26" s="31"/>
      <c r="H26" s="33"/>
      <c r="I26" s="33"/>
      <c r="J26" s="33"/>
      <c r="K26" s="31"/>
      <c r="L26" s="31"/>
      <c r="M26" s="31"/>
      <c r="N26" s="31"/>
      <c r="O26" s="33" t="s">
        <v>312</v>
      </c>
      <c r="P26" s="31"/>
    </row>
    <row r="27" spans="2:16" x14ac:dyDescent="0.2">
      <c r="B27" s="44">
        <f t="shared" si="0"/>
        <v>22</v>
      </c>
      <c r="C27" s="31" t="s">
        <v>313</v>
      </c>
      <c r="D27" s="31" t="s">
        <v>314</v>
      </c>
      <c r="E27" s="31" t="s">
        <v>315</v>
      </c>
      <c r="F27" s="33"/>
      <c r="G27" s="31"/>
      <c r="H27" s="33"/>
      <c r="I27" s="33"/>
      <c r="J27" s="33"/>
      <c r="K27" s="31" t="s">
        <v>94</v>
      </c>
      <c r="L27" s="31">
        <v>1</v>
      </c>
      <c r="M27" s="31" t="s">
        <v>93</v>
      </c>
      <c r="N27" s="31" t="s">
        <v>137</v>
      </c>
      <c r="O27" s="33"/>
      <c r="P27" s="31"/>
    </row>
    <row r="28" spans="2:16" x14ac:dyDescent="0.2">
      <c r="B28" s="44">
        <f t="shared" si="0"/>
        <v>23</v>
      </c>
      <c r="C28" s="31" t="s">
        <v>316</v>
      </c>
      <c r="D28" s="31" t="s">
        <v>317</v>
      </c>
      <c r="E28" s="31"/>
      <c r="F28" s="33"/>
      <c r="G28" s="33"/>
      <c r="H28" s="33"/>
      <c r="I28" s="33"/>
      <c r="J28" s="33"/>
      <c r="K28" s="33" t="s">
        <v>94</v>
      </c>
      <c r="L28" s="33" t="s">
        <v>318</v>
      </c>
      <c r="M28" s="31"/>
      <c r="N28" s="31" t="s">
        <v>137</v>
      </c>
      <c r="O28" s="33"/>
      <c r="P28" s="31"/>
    </row>
    <row r="29" spans="2:16" x14ac:dyDescent="0.2">
      <c r="B29" s="44">
        <f t="shared" si="0"/>
        <v>24</v>
      </c>
      <c r="C29" s="31" t="s">
        <v>319</v>
      </c>
      <c r="D29" s="31" t="s">
        <v>320</v>
      </c>
      <c r="E29" s="31"/>
      <c r="F29" s="33"/>
      <c r="G29" s="33"/>
      <c r="H29" s="33"/>
      <c r="I29" s="33"/>
      <c r="J29" s="33"/>
      <c r="K29" s="33" t="s">
        <v>321</v>
      </c>
      <c r="L29" s="33"/>
      <c r="M29" s="31"/>
      <c r="N29" s="31"/>
      <c r="O29" s="33"/>
      <c r="P29" s="31"/>
    </row>
    <row r="30" spans="2:16" x14ac:dyDescent="0.2">
      <c r="B30" s="44">
        <f t="shared" si="0"/>
        <v>25</v>
      </c>
      <c r="C30" s="31"/>
      <c r="D30" s="31"/>
      <c r="E30" s="31"/>
      <c r="F30" s="33"/>
      <c r="G30" s="33"/>
      <c r="H30" s="33"/>
      <c r="I30" s="33"/>
      <c r="J30" s="33"/>
      <c r="K30" s="31"/>
      <c r="L30" s="31"/>
      <c r="M30" s="31"/>
      <c r="N30" s="31"/>
      <c r="O30" s="33"/>
      <c r="P30" s="31"/>
    </row>
    <row r="31" spans="2:16" x14ac:dyDescent="0.2">
      <c r="B31" s="44">
        <f t="shared" si="0"/>
        <v>26</v>
      </c>
      <c r="C31" s="33" t="s">
        <v>105</v>
      </c>
      <c r="D31" s="33" t="s">
        <v>106</v>
      </c>
      <c r="E31" s="33" t="s">
        <v>107</v>
      </c>
      <c r="F31" s="33"/>
      <c r="G31" s="33"/>
      <c r="H31" s="33"/>
      <c r="I31" s="33"/>
      <c r="J31" s="33"/>
      <c r="K31" s="33" t="s">
        <v>108</v>
      </c>
      <c r="L31" s="33" t="s">
        <v>109</v>
      </c>
      <c r="M31" s="33" t="s">
        <v>93</v>
      </c>
      <c r="N31" s="33" t="s">
        <v>110</v>
      </c>
      <c r="O31" s="33" t="s">
        <v>110</v>
      </c>
      <c r="P31" s="33" t="s">
        <v>110</v>
      </c>
    </row>
    <row r="32" spans="2:16" x14ac:dyDescent="0.2">
      <c r="B32" s="44">
        <f t="shared" si="0"/>
        <v>27</v>
      </c>
      <c r="C32" s="33" t="s">
        <v>350</v>
      </c>
      <c r="D32" s="33" t="s">
        <v>111</v>
      </c>
      <c r="E32" s="33" t="s">
        <v>356</v>
      </c>
      <c r="F32" s="33"/>
      <c r="G32" s="33"/>
      <c r="H32" s="33"/>
      <c r="I32" s="33"/>
      <c r="J32" s="33"/>
      <c r="K32" s="33" t="s">
        <v>94</v>
      </c>
      <c r="L32" s="33" t="s">
        <v>355</v>
      </c>
      <c r="M32" s="33" t="s">
        <v>93</v>
      </c>
      <c r="N32" s="33" t="s">
        <v>111</v>
      </c>
      <c r="O32" s="33" t="s">
        <v>111</v>
      </c>
      <c r="P32" s="33" t="s">
        <v>353</v>
      </c>
    </row>
    <row r="33" spans="2:16" x14ac:dyDescent="0.2">
      <c r="B33" s="44">
        <f t="shared" si="0"/>
        <v>28</v>
      </c>
      <c r="C33" s="33" t="s">
        <v>112</v>
      </c>
      <c r="D33" s="33" t="s">
        <v>113</v>
      </c>
      <c r="E33" s="33" t="s">
        <v>107</v>
      </c>
      <c r="F33" s="33"/>
      <c r="G33" s="33"/>
      <c r="H33" s="33"/>
      <c r="I33" s="33"/>
      <c r="J33" s="33"/>
      <c r="K33" s="33" t="s">
        <v>108</v>
      </c>
      <c r="L33" s="33" t="s">
        <v>109</v>
      </c>
      <c r="M33" s="33" t="s">
        <v>93</v>
      </c>
      <c r="N33" s="33" t="s">
        <v>110</v>
      </c>
      <c r="O33" s="33" t="s">
        <v>114</v>
      </c>
      <c r="P33" s="33" t="s">
        <v>114</v>
      </c>
    </row>
    <row r="34" spans="2:16" x14ac:dyDescent="0.2">
      <c r="B34" s="44">
        <f t="shared" si="0"/>
        <v>29</v>
      </c>
      <c r="C34" s="33" t="s">
        <v>351</v>
      </c>
      <c r="D34" s="33" t="s">
        <v>115</v>
      </c>
      <c r="E34" s="33" t="s">
        <v>348</v>
      </c>
      <c r="F34" s="33"/>
      <c r="G34" s="33"/>
      <c r="H34" s="33"/>
      <c r="I34" s="33"/>
      <c r="J34" s="33"/>
      <c r="K34" s="33" t="s">
        <v>94</v>
      </c>
      <c r="L34" s="33" t="s">
        <v>355</v>
      </c>
      <c r="M34" s="33" t="s">
        <v>93</v>
      </c>
      <c r="N34" s="33" t="s">
        <v>116</v>
      </c>
      <c r="O34" s="33" t="s">
        <v>116</v>
      </c>
      <c r="P34" s="36" t="s">
        <v>354</v>
      </c>
    </row>
    <row r="35" spans="2:16" ht="30" x14ac:dyDescent="0.2">
      <c r="B35" s="44">
        <f t="shared" si="0"/>
        <v>30</v>
      </c>
      <c r="C35" s="33" t="s">
        <v>117</v>
      </c>
      <c r="D35" s="33" t="s">
        <v>118</v>
      </c>
      <c r="E35" s="36" t="s">
        <v>352</v>
      </c>
      <c r="F35" s="33"/>
      <c r="G35" s="33"/>
      <c r="H35" s="33"/>
      <c r="I35" s="33"/>
      <c r="J35" s="33"/>
      <c r="K35" s="33" t="s">
        <v>119</v>
      </c>
      <c r="L35" s="33" t="s">
        <v>355</v>
      </c>
      <c r="M35" s="33" t="s">
        <v>93</v>
      </c>
      <c r="N35" s="33" t="s">
        <v>120</v>
      </c>
      <c r="O35" s="33"/>
      <c r="P35" s="36" t="s">
        <v>352</v>
      </c>
    </row>
  </sheetData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/>
  <headerFooter>
    <oddFooter>&amp;P / &amp;N ページ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BD35"/>
  <sheetViews>
    <sheetView showGridLines="0" zoomScale="85" zoomScaleNormal="85" workbookViewId="0">
      <selection activeCell="C2" sqref="C2"/>
    </sheetView>
  </sheetViews>
  <sheetFormatPr defaultColWidth="10" defaultRowHeight="15" x14ac:dyDescent="0.2"/>
  <cols>
    <col min="1" max="1" width="4.453125" style="34" customWidth="1"/>
    <col min="2" max="2" width="10" style="34"/>
    <col min="3" max="3" width="14" style="34" bestFit="1" customWidth="1"/>
    <col min="4" max="4" width="15.36328125" style="34" customWidth="1"/>
    <col min="5" max="5" width="36.90625" style="34" bestFit="1" customWidth="1"/>
    <col min="6" max="7" width="9.36328125" style="34" bestFit="1" customWidth="1"/>
    <col min="8" max="8" width="13.36328125" style="34" bestFit="1" customWidth="1"/>
    <col min="9" max="9" width="11.6328125" style="34" bestFit="1" customWidth="1"/>
    <col min="10" max="10" width="9.453125" style="34" bestFit="1" customWidth="1"/>
    <col min="11" max="11" width="10.7265625" style="34" bestFit="1" customWidth="1"/>
    <col min="12" max="12" width="19" style="34" customWidth="1"/>
    <col min="13" max="13" width="14.08984375" style="34" bestFit="1" customWidth="1"/>
    <col min="14" max="14" width="23.90625" style="34" customWidth="1"/>
    <col min="15" max="15" width="20.90625" style="34" bestFit="1" customWidth="1"/>
    <col min="16" max="16" width="38.7265625" style="34" bestFit="1" customWidth="1"/>
    <col min="17" max="16384" width="10" style="34"/>
  </cols>
  <sheetData>
    <row r="1" spans="2:56" s="29" customFormat="1" ht="13.5" customHeight="1" x14ac:dyDescent="0.2"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</row>
    <row r="2" spans="2:56" x14ac:dyDescent="0.2">
      <c r="B2" s="32" t="s">
        <v>65</v>
      </c>
      <c r="C2" s="33" t="s">
        <v>374</v>
      </c>
      <c r="D2" s="32" t="s">
        <v>66</v>
      </c>
      <c r="E2" s="31" t="s">
        <v>322</v>
      </c>
      <c r="M2" s="32" t="s">
        <v>67</v>
      </c>
      <c r="N2" s="33" t="s">
        <v>14</v>
      </c>
      <c r="O2" s="32" t="s">
        <v>68</v>
      </c>
      <c r="P2" s="33" t="s">
        <v>69</v>
      </c>
    </row>
    <row r="3" spans="2:56" x14ac:dyDescent="0.2">
      <c r="B3" s="32" t="s">
        <v>70</v>
      </c>
      <c r="C3" s="31" t="s">
        <v>31</v>
      </c>
      <c r="D3" s="32" t="s">
        <v>71</v>
      </c>
      <c r="E3" s="31" t="s">
        <v>323</v>
      </c>
      <c r="M3" s="32" t="s">
        <v>72</v>
      </c>
      <c r="N3" s="33" t="s">
        <v>73</v>
      </c>
      <c r="O3" s="32" t="s">
        <v>74</v>
      </c>
      <c r="P3" s="33" t="s">
        <v>75</v>
      </c>
    </row>
    <row r="5" spans="2:56" ht="25.5" customHeight="1" x14ac:dyDescent="0.2">
      <c r="B5" s="32" t="s">
        <v>76</v>
      </c>
      <c r="C5" s="32" t="s">
        <v>77</v>
      </c>
      <c r="D5" s="32" t="s">
        <v>78</v>
      </c>
      <c r="E5" s="32" t="s">
        <v>79</v>
      </c>
      <c r="F5" s="32" t="s">
        <v>80</v>
      </c>
      <c r="G5" s="32" t="s">
        <v>81</v>
      </c>
      <c r="H5" s="32" t="s">
        <v>82</v>
      </c>
      <c r="I5" s="32" t="s">
        <v>83</v>
      </c>
      <c r="J5" s="32" t="s">
        <v>84</v>
      </c>
      <c r="K5" s="32" t="s">
        <v>85</v>
      </c>
      <c r="L5" s="32" t="s">
        <v>86</v>
      </c>
      <c r="M5" s="32" t="s">
        <v>87</v>
      </c>
      <c r="N5" s="32" t="s">
        <v>88</v>
      </c>
      <c r="O5" s="32" t="s">
        <v>89</v>
      </c>
      <c r="P5" s="32" t="s">
        <v>90</v>
      </c>
    </row>
    <row r="6" spans="2:56" ht="30.75" customHeight="1" x14ac:dyDescent="0.2">
      <c r="B6" s="44">
        <f>ROW()-5</f>
        <v>1</v>
      </c>
      <c r="C6" s="31" t="s">
        <v>324</v>
      </c>
      <c r="D6" s="31" t="s">
        <v>276</v>
      </c>
      <c r="E6" s="33" t="s">
        <v>277</v>
      </c>
      <c r="F6" s="31" t="s">
        <v>93</v>
      </c>
      <c r="G6" s="31" t="s">
        <v>93</v>
      </c>
      <c r="H6" s="33"/>
      <c r="I6" s="33"/>
      <c r="J6" s="31"/>
      <c r="K6" s="33" t="s">
        <v>94</v>
      </c>
      <c r="L6" s="33">
        <v>10</v>
      </c>
      <c r="M6" s="31" t="s">
        <v>93</v>
      </c>
      <c r="N6" s="31" t="s">
        <v>137</v>
      </c>
      <c r="O6" s="33">
        <v>1000000001</v>
      </c>
      <c r="P6" s="31"/>
    </row>
    <row r="7" spans="2:56" ht="30.75" customHeight="1" x14ac:dyDescent="0.2">
      <c r="B7" s="44">
        <f t="shared" ref="B7:B35" si="0">ROW()-5</f>
        <v>2</v>
      </c>
      <c r="C7" s="31" t="s">
        <v>325</v>
      </c>
      <c r="D7" s="31" t="s">
        <v>326</v>
      </c>
      <c r="E7" s="33" t="s">
        <v>327</v>
      </c>
      <c r="F7" s="31" t="s">
        <v>93</v>
      </c>
      <c r="G7" s="31" t="s">
        <v>93</v>
      </c>
      <c r="H7" s="33"/>
      <c r="I7" s="33"/>
      <c r="J7" s="31"/>
      <c r="K7" s="33"/>
      <c r="L7" s="33"/>
      <c r="M7" s="33"/>
      <c r="N7" s="33"/>
      <c r="O7" s="33"/>
      <c r="P7" s="33"/>
    </row>
    <row r="8" spans="2:56" ht="30.75" customHeight="1" x14ac:dyDescent="0.2">
      <c r="B8" s="44">
        <f t="shared" si="0"/>
        <v>3</v>
      </c>
      <c r="C8" s="31"/>
      <c r="D8" s="31"/>
      <c r="E8" s="33"/>
      <c r="F8" s="33"/>
      <c r="G8" s="31"/>
      <c r="H8" s="33"/>
      <c r="I8" s="33"/>
      <c r="J8" s="33"/>
      <c r="K8" s="33"/>
      <c r="L8" s="33"/>
      <c r="M8" s="31"/>
      <c r="N8" s="31"/>
      <c r="O8" s="33"/>
      <c r="P8" s="31"/>
    </row>
    <row r="9" spans="2:56" ht="30.75" customHeight="1" x14ac:dyDescent="0.2">
      <c r="B9" s="44">
        <f t="shared" si="0"/>
        <v>4</v>
      </c>
      <c r="C9" s="31"/>
      <c r="D9" s="31" t="s">
        <v>328</v>
      </c>
      <c r="E9" s="33" t="s">
        <v>329</v>
      </c>
      <c r="F9" s="33"/>
      <c r="G9" s="31"/>
      <c r="H9" s="33"/>
      <c r="I9" s="33"/>
      <c r="J9" s="33"/>
      <c r="K9" s="33"/>
      <c r="L9" s="33"/>
      <c r="M9" s="31"/>
      <c r="N9" s="31"/>
      <c r="O9" s="33"/>
      <c r="P9" s="31"/>
    </row>
    <row r="10" spans="2:56" ht="30.75" customHeight="1" x14ac:dyDescent="0.2">
      <c r="B10" s="44">
        <f t="shared" si="0"/>
        <v>5</v>
      </c>
      <c r="C10" s="31"/>
      <c r="D10" s="31"/>
      <c r="E10" s="31"/>
      <c r="F10" s="33"/>
      <c r="G10" s="31"/>
      <c r="H10" s="33"/>
      <c r="I10" s="33"/>
      <c r="J10" s="33"/>
      <c r="K10" s="31"/>
      <c r="L10" s="31"/>
      <c r="M10" s="31"/>
      <c r="N10" s="31"/>
      <c r="O10" s="33"/>
      <c r="P10" s="31"/>
    </row>
    <row r="11" spans="2:56" ht="30.75" customHeight="1" x14ac:dyDescent="0.2">
      <c r="B11" s="44">
        <f t="shared" si="0"/>
        <v>6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spans="2:56" ht="30.75" customHeight="1" x14ac:dyDescent="0.2">
      <c r="B12" s="44">
        <f t="shared" si="0"/>
        <v>7</v>
      </c>
      <c r="C12" s="31"/>
      <c r="D12" s="31"/>
      <c r="E12" s="31"/>
      <c r="F12" s="33"/>
      <c r="G12" s="31"/>
      <c r="H12" s="33"/>
      <c r="I12" s="33"/>
      <c r="J12" s="33"/>
      <c r="K12" s="31"/>
      <c r="L12" s="31"/>
      <c r="M12" s="31"/>
      <c r="N12" s="31"/>
      <c r="O12" s="33"/>
      <c r="P12" s="31"/>
    </row>
    <row r="13" spans="2:56" ht="30.75" customHeight="1" x14ac:dyDescent="0.2">
      <c r="B13" s="44">
        <f t="shared" si="0"/>
        <v>8</v>
      </c>
      <c r="C13" s="31"/>
      <c r="D13" s="31"/>
      <c r="E13" s="31"/>
      <c r="F13" s="33"/>
      <c r="G13" s="31"/>
      <c r="H13" s="33"/>
      <c r="I13" s="33"/>
      <c r="J13" s="33"/>
      <c r="K13" s="31"/>
      <c r="L13" s="31"/>
      <c r="M13" s="31"/>
      <c r="N13" s="31"/>
      <c r="O13" s="33"/>
      <c r="P13" s="31"/>
    </row>
    <row r="14" spans="2:56" ht="30.75" customHeight="1" x14ac:dyDescent="0.2">
      <c r="B14" s="44">
        <f t="shared" si="0"/>
        <v>9</v>
      </c>
      <c r="C14" s="31"/>
      <c r="D14" s="31"/>
      <c r="E14" s="31"/>
      <c r="F14" s="33"/>
      <c r="G14" s="31"/>
      <c r="H14" s="33"/>
      <c r="I14" s="33"/>
      <c r="J14" s="33"/>
      <c r="K14" s="31"/>
      <c r="L14" s="31"/>
      <c r="M14" s="31"/>
      <c r="N14" s="31"/>
      <c r="O14" s="33"/>
      <c r="P14" s="31"/>
    </row>
    <row r="15" spans="2:56" ht="30.75" customHeight="1" x14ac:dyDescent="0.2">
      <c r="B15" s="44">
        <f t="shared" si="0"/>
        <v>10</v>
      </c>
      <c r="C15" s="31"/>
      <c r="D15" s="31"/>
      <c r="E15" s="31"/>
      <c r="F15" s="33"/>
      <c r="G15" s="31"/>
      <c r="H15" s="33"/>
      <c r="I15" s="33"/>
      <c r="J15" s="33"/>
      <c r="K15" s="31"/>
      <c r="L15" s="31"/>
      <c r="M15" s="31"/>
      <c r="N15" s="31"/>
      <c r="O15" s="33"/>
      <c r="P15" s="31"/>
    </row>
    <row r="16" spans="2:56" x14ac:dyDescent="0.2">
      <c r="B16" s="44">
        <f t="shared" si="0"/>
        <v>11</v>
      </c>
      <c r="C16" s="31"/>
      <c r="D16" s="31"/>
      <c r="E16" s="31"/>
      <c r="F16" s="33"/>
      <c r="G16" s="31"/>
      <c r="H16" s="33"/>
      <c r="I16" s="33"/>
      <c r="J16" s="33"/>
      <c r="K16" s="31"/>
      <c r="L16" s="31"/>
      <c r="M16" s="31"/>
      <c r="N16" s="31"/>
      <c r="O16" s="33"/>
      <c r="P16" s="31"/>
    </row>
    <row r="17" spans="2:16" x14ac:dyDescent="0.2">
      <c r="B17" s="44">
        <f t="shared" si="0"/>
        <v>12</v>
      </c>
      <c r="C17" s="31"/>
      <c r="D17" s="31"/>
      <c r="E17" s="31"/>
      <c r="F17" s="33"/>
      <c r="G17" s="31"/>
      <c r="H17" s="33"/>
      <c r="I17" s="33"/>
      <c r="J17" s="33"/>
      <c r="K17" s="31"/>
      <c r="L17" s="31"/>
      <c r="M17" s="31"/>
      <c r="N17" s="31"/>
      <c r="O17" s="33"/>
      <c r="P17" s="31"/>
    </row>
    <row r="18" spans="2:16" x14ac:dyDescent="0.2">
      <c r="B18" s="44">
        <f t="shared" si="0"/>
        <v>13</v>
      </c>
      <c r="C18" s="31"/>
      <c r="D18" s="31"/>
      <c r="E18" s="31"/>
      <c r="F18" s="33"/>
      <c r="G18" s="31"/>
      <c r="H18" s="33"/>
      <c r="I18" s="33"/>
      <c r="J18" s="33"/>
      <c r="K18" s="31"/>
      <c r="L18" s="31"/>
      <c r="M18" s="31"/>
      <c r="N18" s="31"/>
      <c r="O18" s="33"/>
      <c r="P18" s="31"/>
    </row>
    <row r="19" spans="2:16" x14ac:dyDescent="0.2">
      <c r="B19" s="44">
        <f t="shared" si="0"/>
        <v>14</v>
      </c>
      <c r="C19" s="31"/>
      <c r="D19" s="31"/>
      <c r="E19" s="31"/>
      <c r="F19" s="33"/>
      <c r="G19" s="31"/>
      <c r="H19" s="33"/>
      <c r="I19" s="33"/>
      <c r="J19" s="33"/>
      <c r="K19" s="31"/>
      <c r="L19" s="31"/>
      <c r="M19" s="31"/>
      <c r="N19" s="31"/>
      <c r="O19" s="33"/>
      <c r="P19" s="31"/>
    </row>
    <row r="20" spans="2:16" x14ac:dyDescent="0.2">
      <c r="B20" s="44">
        <f t="shared" si="0"/>
        <v>15</v>
      </c>
      <c r="C20" s="31"/>
      <c r="D20" s="31"/>
      <c r="E20" s="31"/>
      <c r="F20" s="33"/>
      <c r="G20" s="31"/>
      <c r="H20" s="33"/>
      <c r="I20" s="33"/>
      <c r="J20" s="33"/>
      <c r="K20" s="31"/>
      <c r="L20" s="31"/>
      <c r="M20" s="31"/>
      <c r="N20" s="31"/>
      <c r="O20" s="33"/>
      <c r="P20" s="31"/>
    </row>
    <row r="21" spans="2:16" x14ac:dyDescent="0.2">
      <c r="B21" s="44">
        <f t="shared" si="0"/>
        <v>16</v>
      </c>
      <c r="C21" s="31"/>
      <c r="D21" s="31"/>
      <c r="E21" s="31"/>
      <c r="F21" s="33"/>
      <c r="G21" s="31"/>
      <c r="H21" s="33"/>
      <c r="I21" s="33"/>
      <c r="J21" s="33"/>
      <c r="K21" s="31"/>
      <c r="L21" s="31"/>
      <c r="M21" s="31"/>
      <c r="N21" s="31"/>
      <c r="O21" s="33"/>
      <c r="P21" s="31"/>
    </row>
    <row r="22" spans="2:16" x14ac:dyDescent="0.2">
      <c r="B22" s="44">
        <f t="shared" si="0"/>
        <v>17</v>
      </c>
      <c r="C22" s="31"/>
      <c r="D22" s="31"/>
      <c r="E22" s="31"/>
      <c r="F22" s="33"/>
      <c r="G22" s="31"/>
      <c r="H22" s="33"/>
      <c r="I22" s="33"/>
      <c r="J22" s="33"/>
      <c r="K22" s="31"/>
      <c r="L22" s="31"/>
      <c r="M22" s="31"/>
      <c r="N22" s="31"/>
      <c r="O22" s="33"/>
      <c r="P22" s="31"/>
    </row>
    <row r="23" spans="2:16" x14ac:dyDescent="0.2">
      <c r="B23" s="44">
        <f t="shared" si="0"/>
        <v>18</v>
      </c>
      <c r="C23" s="31"/>
      <c r="D23" s="31"/>
      <c r="E23" s="31"/>
      <c r="F23" s="33"/>
      <c r="G23" s="31"/>
      <c r="H23" s="33"/>
      <c r="I23" s="33"/>
      <c r="J23" s="33"/>
      <c r="K23" s="31"/>
      <c r="L23" s="31"/>
      <c r="M23" s="31"/>
      <c r="N23" s="31"/>
      <c r="O23" s="33"/>
      <c r="P23" s="31"/>
    </row>
    <row r="24" spans="2:16" x14ac:dyDescent="0.2">
      <c r="B24" s="44">
        <f t="shared" si="0"/>
        <v>19</v>
      </c>
      <c r="C24" s="31"/>
      <c r="D24" s="31"/>
      <c r="E24" s="31"/>
      <c r="F24" s="33"/>
      <c r="G24" s="31"/>
      <c r="H24" s="33"/>
      <c r="I24" s="33"/>
      <c r="J24" s="33"/>
      <c r="K24" s="31"/>
      <c r="L24" s="31"/>
      <c r="M24" s="31"/>
      <c r="N24" s="31"/>
      <c r="O24" s="33"/>
      <c r="P24" s="31"/>
    </row>
    <row r="25" spans="2:16" x14ac:dyDescent="0.2">
      <c r="B25" s="44">
        <f t="shared" si="0"/>
        <v>20</v>
      </c>
      <c r="C25" s="31"/>
      <c r="D25" s="31"/>
      <c r="E25" s="31"/>
      <c r="F25" s="33"/>
      <c r="G25" s="31"/>
      <c r="H25" s="33"/>
      <c r="I25" s="33"/>
      <c r="J25" s="33"/>
      <c r="K25" s="31"/>
      <c r="L25" s="31"/>
      <c r="M25" s="31"/>
      <c r="N25" s="31"/>
      <c r="O25" s="33"/>
      <c r="P25" s="31"/>
    </row>
    <row r="26" spans="2:16" x14ac:dyDescent="0.2">
      <c r="B26" s="44">
        <f t="shared" si="0"/>
        <v>21</v>
      </c>
      <c r="C26" s="31"/>
      <c r="D26" s="31"/>
      <c r="E26" s="31"/>
      <c r="F26" s="33"/>
      <c r="G26" s="31"/>
      <c r="H26" s="33"/>
      <c r="I26" s="33"/>
      <c r="J26" s="33"/>
      <c r="K26" s="31"/>
      <c r="L26" s="31"/>
      <c r="M26" s="31"/>
      <c r="N26" s="31"/>
      <c r="O26" s="33"/>
      <c r="P26" s="31"/>
    </row>
    <row r="27" spans="2:16" x14ac:dyDescent="0.2">
      <c r="B27" s="44">
        <f t="shared" si="0"/>
        <v>22</v>
      </c>
      <c r="C27" s="31"/>
      <c r="D27" s="31"/>
      <c r="E27" s="31"/>
      <c r="F27" s="33"/>
      <c r="G27" s="31"/>
      <c r="H27" s="33"/>
      <c r="I27" s="33"/>
      <c r="J27" s="33"/>
      <c r="K27" s="31"/>
      <c r="L27" s="31"/>
      <c r="M27" s="31"/>
      <c r="N27" s="31"/>
      <c r="O27" s="33"/>
      <c r="P27" s="31"/>
    </row>
    <row r="28" spans="2:16" x14ac:dyDescent="0.2">
      <c r="B28" s="44">
        <f t="shared" si="0"/>
        <v>23</v>
      </c>
      <c r="C28" s="31"/>
      <c r="D28" s="31"/>
      <c r="E28" s="31"/>
      <c r="F28" s="33"/>
      <c r="G28" s="33"/>
      <c r="H28" s="33"/>
      <c r="I28" s="33"/>
      <c r="J28" s="33"/>
      <c r="K28" s="33"/>
      <c r="L28" s="33"/>
      <c r="M28" s="31"/>
      <c r="N28" s="31"/>
      <c r="O28" s="33"/>
      <c r="P28" s="31"/>
    </row>
    <row r="29" spans="2:16" x14ac:dyDescent="0.2">
      <c r="B29" s="44">
        <f t="shared" si="0"/>
        <v>24</v>
      </c>
      <c r="C29" s="31"/>
      <c r="D29" s="31"/>
      <c r="E29" s="31"/>
      <c r="F29" s="33"/>
      <c r="G29" s="33"/>
      <c r="H29" s="33"/>
      <c r="I29" s="33"/>
      <c r="J29" s="33"/>
      <c r="K29" s="33"/>
      <c r="L29" s="33"/>
      <c r="M29" s="31"/>
      <c r="N29" s="31"/>
      <c r="O29" s="33"/>
      <c r="P29" s="31"/>
    </row>
    <row r="30" spans="2:16" x14ac:dyDescent="0.2">
      <c r="B30" s="44">
        <f t="shared" si="0"/>
        <v>25</v>
      </c>
      <c r="C30" s="31"/>
      <c r="D30" s="31"/>
      <c r="E30" s="31"/>
      <c r="F30" s="33"/>
      <c r="G30" s="33"/>
      <c r="H30" s="33"/>
      <c r="I30" s="33"/>
      <c r="J30" s="33"/>
      <c r="K30" s="31"/>
      <c r="L30" s="31"/>
      <c r="M30" s="31"/>
      <c r="N30" s="31"/>
      <c r="O30" s="33"/>
      <c r="P30" s="31"/>
    </row>
    <row r="31" spans="2:16" x14ac:dyDescent="0.2">
      <c r="B31" s="44">
        <f t="shared" si="0"/>
        <v>26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</row>
    <row r="32" spans="2:16" x14ac:dyDescent="0.2">
      <c r="B32" s="44">
        <f t="shared" si="0"/>
        <v>27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</row>
    <row r="33" spans="2:16" x14ac:dyDescent="0.2">
      <c r="B33" s="44">
        <f t="shared" si="0"/>
        <v>28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</row>
    <row r="34" spans="2:16" x14ac:dyDescent="0.2">
      <c r="B34" s="44">
        <f t="shared" si="0"/>
        <v>29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6"/>
    </row>
    <row r="35" spans="2:16" x14ac:dyDescent="0.2">
      <c r="B35" s="44">
        <f t="shared" si="0"/>
        <v>30</v>
      </c>
      <c r="C35" s="33"/>
      <c r="D35" s="33"/>
      <c r="E35" s="36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6"/>
    </row>
  </sheetData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/>
  <headerFooter>
    <oddFooter>&amp;P / &amp;N ページ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BD35"/>
  <sheetViews>
    <sheetView showGridLines="0" zoomScale="85" zoomScaleNormal="85" workbookViewId="0">
      <selection activeCell="C2" sqref="C2"/>
    </sheetView>
  </sheetViews>
  <sheetFormatPr defaultColWidth="10" defaultRowHeight="15" x14ac:dyDescent="0.2"/>
  <cols>
    <col min="1" max="1" width="4.453125" style="34" customWidth="1"/>
    <col min="2" max="2" width="10" style="34"/>
    <col min="3" max="3" width="14" style="34" bestFit="1" customWidth="1"/>
    <col min="4" max="4" width="15.36328125" style="34" customWidth="1"/>
    <col min="5" max="5" width="36.90625" style="34" bestFit="1" customWidth="1"/>
    <col min="6" max="7" width="9.36328125" style="34" bestFit="1" customWidth="1"/>
    <col min="8" max="8" width="13.36328125" style="34" bestFit="1" customWidth="1"/>
    <col min="9" max="9" width="11.6328125" style="34" bestFit="1" customWidth="1"/>
    <col min="10" max="10" width="9.453125" style="34" bestFit="1" customWidth="1"/>
    <col min="11" max="11" width="10.7265625" style="34" bestFit="1" customWidth="1"/>
    <col min="12" max="12" width="19" style="34" customWidth="1"/>
    <col min="13" max="13" width="14.08984375" style="34" bestFit="1" customWidth="1"/>
    <col min="14" max="14" width="23.90625" style="34" customWidth="1"/>
    <col min="15" max="15" width="20.90625" style="34" bestFit="1" customWidth="1"/>
    <col min="16" max="16" width="38.7265625" style="34" bestFit="1" customWidth="1"/>
    <col min="17" max="16384" width="10" style="34"/>
  </cols>
  <sheetData>
    <row r="1" spans="2:56" s="29" customFormat="1" ht="13.5" customHeight="1" x14ac:dyDescent="0.2"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</row>
    <row r="2" spans="2:56" x14ac:dyDescent="0.2">
      <c r="B2" s="32" t="s">
        <v>65</v>
      </c>
      <c r="C2" s="33" t="s">
        <v>374</v>
      </c>
      <c r="D2" s="32" t="s">
        <v>66</v>
      </c>
      <c r="E2" s="31" t="s">
        <v>330</v>
      </c>
      <c r="M2" s="32" t="s">
        <v>67</v>
      </c>
      <c r="N2" s="33" t="s">
        <v>14</v>
      </c>
      <c r="O2" s="32" t="s">
        <v>68</v>
      </c>
      <c r="P2" s="33" t="s">
        <v>69</v>
      </c>
    </row>
    <row r="3" spans="2:56" x14ac:dyDescent="0.2">
      <c r="B3" s="32" t="s">
        <v>70</v>
      </c>
      <c r="C3" s="31" t="s">
        <v>31</v>
      </c>
      <c r="D3" s="32" t="s">
        <v>71</v>
      </c>
      <c r="E3" s="31" t="s">
        <v>331</v>
      </c>
      <c r="M3" s="32" t="s">
        <v>72</v>
      </c>
      <c r="N3" s="33" t="s">
        <v>73</v>
      </c>
      <c r="O3" s="32" t="s">
        <v>74</v>
      </c>
      <c r="P3" s="33" t="s">
        <v>75</v>
      </c>
    </row>
    <row r="5" spans="2:56" ht="25.5" customHeight="1" x14ac:dyDescent="0.2">
      <c r="B5" s="32" t="s">
        <v>76</v>
      </c>
      <c r="C5" s="32" t="s">
        <v>77</v>
      </c>
      <c r="D5" s="32" t="s">
        <v>78</v>
      </c>
      <c r="E5" s="32" t="s">
        <v>79</v>
      </c>
      <c r="F5" s="32" t="s">
        <v>80</v>
      </c>
      <c r="G5" s="32" t="s">
        <v>81</v>
      </c>
      <c r="H5" s="32" t="s">
        <v>82</v>
      </c>
      <c r="I5" s="32" t="s">
        <v>83</v>
      </c>
      <c r="J5" s="32" t="s">
        <v>84</v>
      </c>
      <c r="K5" s="32" t="s">
        <v>85</v>
      </c>
      <c r="L5" s="32" t="s">
        <v>86</v>
      </c>
      <c r="M5" s="32" t="s">
        <v>87</v>
      </c>
      <c r="N5" s="32" t="s">
        <v>88</v>
      </c>
      <c r="O5" s="32" t="s">
        <v>89</v>
      </c>
      <c r="P5" s="32" t="s">
        <v>90</v>
      </c>
    </row>
    <row r="6" spans="2:56" ht="30.75" customHeight="1" x14ac:dyDescent="0.2">
      <c r="B6" s="44">
        <f>ROW()-5</f>
        <v>1</v>
      </c>
      <c r="C6" s="31" t="s">
        <v>259</v>
      </c>
      <c r="D6" s="31" t="s">
        <v>326</v>
      </c>
      <c r="E6" s="33" t="s">
        <v>277</v>
      </c>
      <c r="F6" s="31" t="s">
        <v>93</v>
      </c>
      <c r="G6" s="31"/>
      <c r="H6" s="33"/>
      <c r="I6" s="33"/>
      <c r="J6" s="31" t="s">
        <v>93</v>
      </c>
      <c r="K6" s="33" t="s">
        <v>94</v>
      </c>
      <c r="L6" s="33">
        <v>10</v>
      </c>
      <c r="M6" s="31" t="s">
        <v>93</v>
      </c>
      <c r="N6" s="31" t="s">
        <v>137</v>
      </c>
      <c r="O6" s="33">
        <v>1000000001</v>
      </c>
      <c r="P6" s="31"/>
    </row>
    <row r="7" spans="2:56" ht="30.75" customHeight="1" x14ac:dyDescent="0.2">
      <c r="B7" s="44">
        <f t="shared" ref="B7:B35" si="0">ROW()-5</f>
        <v>2</v>
      </c>
      <c r="C7" s="31"/>
      <c r="D7" s="31" t="s">
        <v>222</v>
      </c>
      <c r="E7" s="33" t="s">
        <v>332</v>
      </c>
      <c r="F7" s="31"/>
      <c r="G7" s="31"/>
      <c r="H7" s="33"/>
      <c r="I7" s="33"/>
      <c r="J7" s="31"/>
      <c r="K7" s="33"/>
      <c r="L7" s="33"/>
      <c r="M7" s="31"/>
      <c r="N7" s="31"/>
      <c r="O7" s="33" t="s">
        <v>333</v>
      </c>
      <c r="P7" s="33"/>
    </row>
    <row r="8" spans="2:56" ht="30.75" customHeight="1" x14ac:dyDescent="0.2">
      <c r="B8" s="44">
        <f t="shared" si="0"/>
        <v>3</v>
      </c>
      <c r="C8" s="31"/>
      <c r="D8" s="31" t="s">
        <v>202</v>
      </c>
      <c r="E8" s="31" t="s">
        <v>334</v>
      </c>
      <c r="F8" s="33"/>
      <c r="G8" s="31"/>
      <c r="H8" s="33"/>
      <c r="I8" s="33"/>
      <c r="J8" s="33"/>
      <c r="K8" s="33"/>
      <c r="L8" s="33"/>
      <c r="M8" s="31"/>
      <c r="N8" s="31"/>
      <c r="O8" s="33" t="s">
        <v>335</v>
      </c>
      <c r="P8" s="31"/>
    </row>
    <row r="9" spans="2:56" ht="30.75" customHeight="1" x14ac:dyDescent="0.2">
      <c r="B9" s="44">
        <f t="shared" si="0"/>
        <v>4</v>
      </c>
      <c r="C9" s="31"/>
      <c r="D9" s="31" t="s">
        <v>336</v>
      </c>
      <c r="E9" s="31" t="s">
        <v>336</v>
      </c>
      <c r="F9" s="33"/>
      <c r="G9" s="31"/>
      <c r="H9" s="33"/>
      <c r="I9" s="33"/>
      <c r="J9" s="33"/>
      <c r="K9" s="33"/>
      <c r="L9" s="33"/>
      <c r="M9" s="31"/>
      <c r="N9" s="31"/>
      <c r="O9" s="33" t="s">
        <v>337</v>
      </c>
      <c r="P9" s="31"/>
    </row>
    <row r="10" spans="2:56" ht="30.75" customHeight="1" x14ac:dyDescent="0.2">
      <c r="B10" s="44">
        <f t="shared" si="0"/>
        <v>5</v>
      </c>
      <c r="C10" s="31"/>
      <c r="D10" s="31" t="s">
        <v>338</v>
      </c>
      <c r="E10" s="33" t="s">
        <v>338</v>
      </c>
      <c r="F10" s="33"/>
      <c r="G10" s="31"/>
      <c r="H10" s="33"/>
      <c r="I10" s="33"/>
      <c r="J10" s="33"/>
      <c r="K10" s="33"/>
      <c r="L10" s="33"/>
      <c r="M10" s="31"/>
      <c r="N10" s="31"/>
      <c r="O10" s="33" t="s">
        <v>339</v>
      </c>
      <c r="P10" s="31"/>
    </row>
    <row r="11" spans="2:56" ht="30.75" customHeight="1" x14ac:dyDescent="0.2">
      <c r="B11" s="44">
        <f t="shared" si="0"/>
        <v>6</v>
      </c>
      <c r="C11" s="31"/>
      <c r="D11" s="31" t="s">
        <v>303</v>
      </c>
      <c r="E11" s="33" t="s">
        <v>303</v>
      </c>
      <c r="F11" s="33"/>
      <c r="G11" s="33"/>
      <c r="H11" s="33"/>
      <c r="I11" s="33"/>
      <c r="J11" s="33"/>
      <c r="K11" s="33"/>
      <c r="L11" s="33"/>
      <c r="M11" s="31"/>
      <c r="N11" s="31"/>
      <c r="O11" s="33" t="s">
        <v>340</v>
      </c>
      <c r="P11" s="33"/>
    </row>
    <row r="12" spans="2:56" ht="30.75" customHeight="1" x14ac:dyDescent="0.2">
      <c r="B12" s="44">
        <f t="shared" si="0"/>
        <v>7</v>
      </c>
      <c r="C12" s="31"/>
      <c r="D12" s="31"/>
      <c r="E12" s="31"/>
      <c r="F12" s="33"/>
      <c r="G12" s="31"/>
      <c r="H12" s="33"/>
      <c r="I12" s="33"/>
      <c r="J12" s="33"/>
      <c r="K12" s="31"/>
      <c r="L12" s="31"/>
      <c r="M12" s="31"/>
      <c r="N12" s="31"/>
      <c r="O12" s="33"/>
      <c r="P12" s="31"/>
    </row>
    <row r="13" spans="2:56" ht="30.75" customHeight="1" x14ac:dyDescent="0.2">
      <c r="B13" s="44">
        <f t="shared" si="0"/>
        <v>8</v>
      </c>
      <c r="C13" s="31"/>
      <c r="D13" s="31"/>
      <c r="E13" s="31"/>
      <c r="F13" s="33"/>
      <c r="G13" s="31"/>
      <c r="H13" s="33"/>
      <c r="I13" s="33"/>
      <c r="J13" s="33"/>
      <c r="K13" s="31"/>
      <c r="L13" s="31"/>
      <c r="M13" s="31"/>
      <c r="N13" s="31"/>
      <c r="O13" s="33"/>
      <c r="P13" s="31"/>
    </row>
    <row r="14" spans="2:56" ht="30.75" customHeight="1" x14ac:dyDescent="0.2">
      <c r="B14" s="44">
        <f t="shared" si="0"/>
        <v>9</v>
      </c>
      <c r="C14" s="31"/>
      <c r="D14" s="31"/>
      <c r="E14" s="31"/>
      <c r="F14" s="33"/>
      <c r="G14" s="31"/>
      <c r="H14" s="33"/>
      <c r="I14" s="33"/>
      <c r="J14" s="33"/>
      <c r="K14" s="31"/>
      <c r="L14" s="31"/>
      <c r="M14" s="31"/>
      <c r="N14" s="31"/>
      <c r="O14" s="33"/>
      <c r="P14" s="31"/>
    </row>
    <row r="15" spans="2:56" ht="30.75" customHeight="1" x14ac:dyDescent="0.2">
      <c r="B15" s="44">
        <f t="shared" si="0"/>
        <v>10</v>
      </c>
      <c r="C15" s="31"/>
      <c r="D15" s="31"/>
      <c r="E15" s="31"/>
      <c r="F15" s="33"/>
      <c r="G15" s="31"/>
      <c r="H15" s="33"/>
      <c r="I15" s="33"/>
      <c r="J15" s="33"/>
      <c r="K15" s="31"/>
      <c r="L15" s="31"/>
      <c r="M15" s="31"/>
      <c r="N15" s="31"/>
      <c r="O15" s="33"/>
      <c r="P15" s="31"/>
    </row>
    <row r="16" spans="2:56" x14ac:dyDescent="0.2">
      <c r="B16" s="44">
        <f t="shared" si="0"/>
        <v>11</v>
      </c>
      <c r="C16" s="31"/>
      <c r="D16" s="31"/>
      <c r="E16" s="31"/>
      <c r="F16" s="33"/>
      <c r="G16" s="31"/>
      <c r="H16" s="33"/>
      <c r="I16" s="33"/>
      <c r="J16" s="33"/>
      <c r="K16" s="31"/>
      <c r="L16" s="31"/>
      <c r="M16" s="31"/>
      <c r="N16" s="31"/>
      <c r="O16" s="33"/>
      <c r="P16" s="31"/>
    </row>
    <row r="17" spans="2:16" x14ac:dyDescent="0.2">
      <c r="B17" s="44">
        <f t="shared" si="0"/>
        <v>12</v>
      </c>
      <c r="C17" s="31"/>
      <c r="D17" s="31"/>
      <c r="E17" s="31"/>
      <c r="F17" s="33"/>
      <c r="G17" s="31"/>
      <c r="H17" s="33"/>
      <c r="I17" s="33"/>
      <c r="J17" s="33"/>
      <c r="K17" s="31"/>
      <c r="L17" s="31"/>
      <c r="M17" s="31"/>
      <c r="N17" s="31"/>
      <c r="O17" s="33"/>
      <c r="P17" s="31"/>
    </row>
    <row r="18" spans="2:16" x14ac:dyDescent="0.2">
      <c r="B18" s="44">
        <f t="shared" si="0"/>
        <v>13</v>
      </c>
      <c r="C18" s="31"/>
      <c r="D18" s="31"/>
      <c r="E18" s="31"/>
      <c r="F18" s="33"/>
      <c r="G18" s="31"/>
      <c r="H18" s="33"/>
      <c r="I18" s="33"/>
      <c r="J18" s="33"/>
      <c r="K18" s="31"/>
      <c r="L18" s="31"/>
      <c r="M18" s="31"/>
      <c r="N18" s="31"/>
      <c r="O18" s="33"/>
      <c r="P18" s="31"/>
    </row>
    <row r="19" spans="2:16" x14ac:dyDescent="0.2">
      <c r="B19" s="44">
        <f t="shared" si="0"/>
        <v>14</v>
      </c>
      <c r="C19" s="31"/>
      <c r="D19" s="31"/>
      <c r="E19" s="31"/>
      <c r="F19" s="33"/>
      <c r="G19" s="31"/>
      <c r="H19" s="33"/>
      <c r="I19" s="33"/>
      <c r="J19" s="33"/>
      <c r="K19" s="31"/>
      <c r="L19" s="31"/>
      <c r="M19" s="31"/>
      <c r="N19" s="31"/>
      <c r="O19" s="33"/>
      <c r="P19" s="31"/>
    </row>
    <row r="20" spans="2:16" x14ac:dyDescent="0.2">
      <c r="B20" s="44">
        <f t="shared" si="0"/>
        <v>15</v>
      </c>
      <c r="C20" s="31"/>
      <c r="D20" s="31"/>
      <c r="E20" s="31"/>
      <c r="F20" s="33"/>
      <c r="G20" s="31"/>
      <c r="H20" s="33"/>
      <c r="I20" s="33"/>
      <c r="J20" s="33"/>
      <c r="K20" s="31"/>
      <c r="L20" s="31"/>
      <c r="M20" s="31"/>
      <c r="N20" s="31"/>
      <c r="O20" s="33"/>
      <c r="P20" s="31"/>
    </row>
    <row r="21" spans="2:16" x14ac:dyDescent="0.2">
      <c r="B21" s="44">
        <f t="shared" si="0"/>
        <v>16</v>
      </c>
      <c r="C21" s="31"/>
      <c r="D21" s="31"/>
      <c r="E21" s="31"/>
      <c r="F21" s="33"/>
      <c r="G21" s="31"/>
      <c r="H21" s="33"/>
      <c r="I21" s="33"/>
      <c r="J21" s="33"/>
      <c r="K21" s="31"/>
      <c r="L21" s="31"/>
      <c r="M21" s="31"/>
      <c r="N21" s="31"/>
      <c r="O21" s="33"/>
      <c r="P21" s="31"/>
    </row>
    <row r="22" spans="2:16" x14ac:dyDescent="0.2">
      <c r="B22" s="44">
        <f t="shared" si="0"/>
        <v>17</v>
      </c>
      <c r="C22" s="31"/>
      <c r="D22" s="31"/>
      <c r="E22" s="31"/>
      <c r="F22" s="33"/>
      <c r="G22" s="31"/>
      <c r="H22" s="33"/>
      <c r="I22" s="33"/>
      <c r="J22" s="33"/>
      <c r="K22" s="31"/>
      <c r="L22" s="31"/>
      <c r="M22" s="31"/>
      <c r="N22" s="31"/>
      <c r="O22" s="33"/>
      <c r="P22" s="31"/>
    </row>
    <row r="23" spans="2:16" x14ac:dyDescent="0.2">
      <c r="B23" s="44">
        <f t="shared" si="0"/>
        <v>18</v>
      </c>
      <c r="C23" s="31"/>
      <c r="D23" s="31"/>
      <c r="E23" s="31"/>
      <c r="F23" s="33"/>
      <c r="G23" s="31"/>
      <c r="H23" s="33"/>
      <c r="I23" s="33"/>
      <c r="J23" s="33"/>
      <c r="K23" s="31"/>
      <c r="L23" s="31"/>
      <c r="M23" s="31"/>
      <c r="N23" s="31"/>
      <c r="O23" s="33"/>
      <c r="P23" s="31"/>
    </row>
    <row r="24" spans="2:16" x14ac:dyDescent="0.2">
      <c r="B24" s="44">
        <f t="shared" si="0"/>
        <v>19</v>
      </c>
      <c r="C24" s="31"/>
      <c r="D24" s="31"/>
      <c r="E24" s="31"/>
      <c r="F24" s="33"/>
      <c r="G24" s="31"/>
      <c r="H24" s="33"/>
      <c r="I24" s="33"/>
      <c r="J24" s="33"/>
      <c r="K24" s="31"/>
      <c r="L24" s="31"/>
      <c r="M24" s="31"/>
      <c r="N24" s="31"/>
      <c r="O24" s="33"/>
      <c r="P24" s="31"/>
    </row>
    <row r="25" spans="2:16" x14ac:dyDescent="0.2">
      <c r="B25" s="44">
        <f t="shared" si="0"/>
        <v>20</v>
      </c>
      <c r="C25" s="31"/>
      <c r="D25" s="31"/>
      <c r="E25" s="31"/>
      <c r="F25" s="33"/>
      <c r="G25" s="31"/>
      <c r="H25" s="33"/>
      <c r="I25" s="33"/>
      <c r="J25" s="33"/>
      <c r="K25" s="31"/>
      <c r="L25" s="31"/>
      <c r="M25" s="31"/>
      <c r="N25" s="31"/>
      <c r="O25" s="33"/>
      <c r="P25" s="31"/>
    </row>
    <row r="26" spans="2:16" x14ac:dyDescent="0.2">
      <c r="B26" s="44">
        <f t="shared" si="0"/>
        <v>21</v>
      </c>
      <c r="C26" s="31"/>
      <c r="D26" s="31"/>
      <c r="E26" s="31"/>
      <c r="F26" s="33"/>
      <c r="G26" s="31"/>
      <c r="H26" s="33"/>
      <c r="I26" s="33"/>
      <c r="J26" s="33"/>
      <c r="K26" s="31"/>
      <c r="L26" s="31"/>
      <c r="M26" s="31"/>
      <c r="N26" s="31"/>
      <c r="O26" s="33"/>
      <c r="P26" s="31"/>
    </row>
    <row r="27" spans="2:16" x14ac:dyDescent="0.2">
      <c r="B27" s="44">
        <f t="shared" si="0"/>
        <v>22</v>
      </c>
      <c r="C27" s="31"/>
      <c r="D27" s="31"/>
      <c r="E27" s="31"/>
      <c r="F27" s="33"/>
      <c r="G27" s="31"/>
      <c r="H27" s="33"/>
      <c r="I27" s="33"/>
      <c r="J27" s="33"/>
      <c r="K27" s="31"/>
      <c r="L27" s="31"/>
      <c r="M27" s="31"/>
      <c r="N27" s="31"/>
      <c r="O27" s="33"/>
      <c r="P27" s="31"/>
    </row>
    <row r="28" spans="2:16" x14ac:dyDescent="0.2">
      <c r="B28" s="44">
        <f t="shared" si="0"/>
        <v>23</v>
      </c>
      <c r="C28" s="31"/>
      <c r="D28" s="31"/>
      <c r="E28" s="31"/>
      <c r="F28" s="33"/>
      <c r="G28" s="33"/>
      <c r="H28" s="33"/>
      <c r="I28" s="33"/>
      <c r="J28" s="33"/>
      <c r="K28" s="33"/>
      <c r="L28" s="33"/>
      <c r="M28" s="31"/>
      <c r="N28" s="31"/>
      <c r="O28" s="33"/>
      <c r="P28" s="31"/>
    </row>
    <row r="29" spans="2:16" x14ac:dyDescent="0.2">
      <c r="B29" s="44">
        <f t="shared" si="0"/>
        <v>24</v>
      </c>
      <c r="C29" s="31"/>
      <c r="D29" s="31"/>
      <c r="E29" s="31"/>
      <c r="F29" s="33"/>
      <c r="G29" s="33"/>
      <c r="H29" s="33"/>
      <c r="I29" s="33"/>
      <c r="J29" s="33"/>
      <c r="K29" s="33"/>
      <c r="L29" s="33"/>
      <c r="M29" s="31"/>
      <c r="N29" s="31"/>
      <c r="O29" s="33"/>
      <c r="P29" s="31"/>
    </row>
    <row r="30" spans="2:16" x14ac:dyDescent="0.2">
      <c r="B30" s="44">
        <f t="shared" si="0"/>
        <v>25</v>
      </c>
      <c r="C30" s="31"/>
      <c r="D30" s="31"/>
      <c r="E30" s="31"/>
      <c r="F30" s="33"/>
      <c r="G30" s="33"/>
      <c r="H30" s="33"/>
      <c r="I30" s="33"/>
      <c r="J30" s="33"/>
      <c r="K30" s="31"/>
      <c r="L30" s="31"/>
      <c r="M30" s="31"/>
      <c r="N30" s="31"/>
      <c r="O30" s="33"/>
      <c r="P30" s="31"/>
    </row>
    <row r="31" spans="2:16" x14ac:dyDescent="0.2">
      <c r="B31" s="44">
        <f t="shared" si="0"/>
        <v>26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</row>
    <row r="32" spans="2:16" x14ac:dyDescent="0.2">
      <c r="B32" s="44">
        <f t="shared" si="0"/>
        <v>27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</row>
    <row r="33" spans="2:16" x14ac:dyDescent="0.2">
      <c r="B33" s="44">
        <f t="shared" si="0"/>
        <v>28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</row>
    <row r="34" spans="2:16" x14ac:dyDescent="0.2">
      <c r="B34" s="44">
        <f t="shared" si="0"/>
        <v>29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6"/>
    </row>
    <row r="35" spans="2:16" x14ac:dyDescent="0.2">
      <c r="B35" s="44">
        <f t="shared" si="0"/>
        <v>30</v>
      </c>
      <c r="C35" s="33"/>
      <c r="D35" s="33"/>
      <c r="E35" s="36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6"/>
    </row>
  </sheetData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/>
  <headerFooter>
    <oddFooter>&amp;P / &amp;N ページ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BD15"/>
  <sheetViews>
    <sheetView showGridLines="0" zoomScale="85" zoomScaleNormal="85" workbookViewId="0">
      <pane ySplit="5" topLeftCell="A6" activePane="bottomLeft" state="frozen"/>
      <selection pane="bottomLeft" activeCell="C2" sqref="C2"/>
    </sheetView>
  </sheetViews>
  <sheetFormatPr defaultColWidth="10" defaultRowHeight="15" x14ac:dyDescent="0.2"/>
  <cols>
    <col min="1" max="1" width="4.453125" style="34" customWidth="1"/>
    <col min="2" max="2" width="10" style="34"/>
    <col min="3" max="3" width="14" style="34" bestFit="1" customWidth="1"/>
    <col min="4" max="4" width="15.36328125" style="34" customWidth="1"/>
    <col min="5" max="5" width="36.90625" style="34" bestFit="1" customWidth="1"/>
    <col min="6" max="7" width="9.36328125" style="34" bestFit="1" customWidth="1"/>
    <col min="8" max="8" width="13.36328125" style="34" bestFit="1" customWidth="1"/>
    <col min="9" max="9" width="11.6328125" style="34" bestFit="1" customWidth="1"/>
    <col min="10" max="10" width="9.453125" style="34" bestFit="1" customWidth="1"/>
    <col min="11" max="11" width="10.7265625" style="34" bestFit="1" customWidth="1"/>
    <col min="12" max="12" width="19" style="34" customWidth="1"/>
    <col min="13" max="13" width="14.08984375" style="34" bestFit="1" customWidth="1"/>
    <col min="14" max="14" width="23.90625" style="34" customWidth="1"/>
    <col min="15" max="15" width="20.90625" style="34" bestFit="1" customWidth="1"/>
    <col min="16" max="16" width="38.7265625" style="34" bestFit="1" customWidth="1"/>
    <col min="17" max="16384" width="10" style="34"/>
  </cols>
  <sheetData>
    <row r="1" spans="2:56" s="29" customFormat="1" ht="13.5" customHeight="1" x14ac:dyDescent="0.2"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</row>
    <row r="2" spans="2:56" x14ac:dyDescent="0.2">
      <c r="B2" s="32" t="s">
        <v>65</v>
      </c>
      <c r="C2" s="33" t="s">
        <v>374</v>
      </c>
      <c r="D2" s="32" t="s">
        <v>66</v>
      </c>
      <c r="E2" s="31" t="s">
        <v>341</v>
      </c>
      <c r="M2" s="32" t="s">
        <v>67</v>
      </c>
      <c r="N2" s="33" t="s">
        <v>14</v>
      </c>
      <c r="O2" s="32" t="s">
        <v>68</v>
      </c>
      <c r="P2" s="33" t="s">
        <v>69</v>
      </c>
    </row>
    <row r="3" spans="2:56" x14ac:dyDescent="0.2">
      <c r="B3" s="32" t="s">
        <v>70</v>
      </c>
      <c r="C3" s="31" t="s">
        <v>360</v>
      </c>
      <c r="D3" s="32" t="s">
        <v>71</v>
      </c>
      <c r="E3" s="31" t="s">
        <v>342</v>
      </c>
      <c r="M3" s="32" t="s">
        <v>72</v>
      </c>
      <c r="N3" s="33" t="s">
        <v>73</v>
      </c>
      <c r="O3" s="32" t="s">
        <v>74</v>
      </c>
      <c r="P3" s="33" t="s">
        <v>75</v>
      </c>
    </row>
    <row r="5" spans="2:56" ht="25.5" customHeight="1" x14ac:dyDescent="0.2">
      <c r="B5" s="32" t="s">
        <v>76</v>
      </c>
      <c r="C5" s="32" t="s">
        <v>77</v>
      </c>
      <c r="D5" s="32" t="s">
        <v>78</v>
      </c>
      <c r="E5" s="32" t="s">
        <v>79</v>
      </c>
      <c r="F5" s="32" t="s">
        <v>80</v>
      </c>
      <c r="G5" s="32" t="s">
        <v>81</v>
      </c>
      <c r="H5" s="32" t="s">
        <v>82</v>
      </c>
      <c r="I5" s="32" t="s">
        <v>83</v>
      </c>
      <c r="J5" s="32" t="s">
        <v>84</v>
      </c>
      <c r="K5" s="32" t="s">
        <v>85</v>
      </c>
      <c r="L5" s="32" t="s">
        <v>86</v>
      </c>
      <c r="M5" s="32" t="s">
        <v>87</v>
      </c>
      <c r="N5" s="32" t="s">
        <v>88</v>
      </c>
      <c r="O5" s="32" t="s">
        <v>89</v>
      </c>
      <c r="P5" s="32" t="s">
        <v>90</v>
      </c>
    </row>
    <row r="6" spans="2:56" ht="30.75" customHeight="1" x14ac:dyDescent="0.2">
      <c r="B6" s="44">
        <f>ROW()-5</f>
        <v>1</v>
      </c>
      <c r="C6" s="31"/>
      <c r="D6" s="31" t="s">
        <v>367</v>
      </c>
      <c r="E6" s="31" t="s">
        <v>367</v>
      </c>
      <c r="F6" s="31" t="s">
        <v>370</v>
      </c>
      <c r="G6" s="31"/>
      <c r="H6" s="33"/>
      <c r="I6" s="33"/>
      <c r="J6" s="31"/>
      <c r="K6" s="33"/>
      <c r="L6" s="33"/>
      <c r="M6" s="31" t="s">
        <v>363</v>
      </c>
      <c r="N6" s="31"/>
      <c r="O6" s="33" t="s">
        <v>305</v>
      </c>
      <c r="P6" s="31"/>
    </row>
    <row r="7" spans="2:56" ht="30.75" customHeight="1" x14ac:dyDescent="0.2">
      <c r="B7" s="44">
        <f t="shared" ref="B7:B15" si="0">ROW()-5</f>
        <v>2</v>
      </c>
      <c r="C7" s="31" t="s">
        <v>362</v>
      </c>
      <c r="D7" s="31" t="s">
        <v>361</v>
      </c>
      <c r="E7" s="31" t="s">
        <v>361</v>
      </c>
      <c r="F7" s="31"/>
      <c r="G7" s="31"/>
      <c r="H7" s="33"/>
      <c r="I7" s="33"/>
      <c r="J7" s="31"/>
      <c r="K7" s="33"/>
      <c r="L7" s="33"/>
      <c r="M7" s="31"/>
      <c r="N7" s="31"/>
      <c r="O7" s="33" t="s">
        <v>364</v>
      </c>
      <c r="P7" s="33"/>
    </row>
    <row r="8" spans="2:56" ht="30.75" customHeight="1" x14ac:dyDescent="0.2">
      <c r="B8" s="44">
        <f t="shared" si="0"/>
        <v>3</v>
      </c>
      <c r="C8" s="31"/>
      <c r="D8" s="31" t="s">
        <v>368</v>
      </c>
      <c r="E8" s="31" t="s">
        <v>368</v>
      </c>
      <c r="F8" s="33" t="s">
        <v>370</v>
      </c>
      <c r="G8" s="31"/>
      <c r="H8" s="33"/>
      <c r="I8" s="33"/>
      <c r="J8" s="33"/>
      <c r="K8" s="33"/>
      <c r="L8" s="33"/>
      <c r="M8" s="31"/>
      <c r="N8" s="31"/>
      <c r="O8" s="33"/>
      <c r="P8" s="31"/>
    </row>
    <row r="9" spans="2:56" ht="30.75" customHeight="1" x14ac:dyDescent="0.2">
      <c r="B9" s="44">
        <f t="shared" si="0"/>
        <v>4</v>
      </c>
      <c r="C9" s="31"/>
      <c r="D9" s="31" t="s">
        <v>369</v>
      </c>
      <c r="E9" s="31" t="s">
        <v>369</v>
      </c>
      <c r="F9" s="33"/>
      <c r="G9" s="31"/>
      <c r="H9" s="33"/>
      <c r="I9" s="33"/>
      <c r="J9" s="33"/>
      <c r="K9" s="33"/>
      <c r="L9" s="33"/>
      <c r="M9" s="31"/>
      <c r="N9" s="31"/>
      <c r="O9" s="33"/>
      <c r="P9" s="31"/>
    </row>
    <row r="10" spans="2:56" ht="30.75" customHeight="1" x14ac:dyDescent="0.2">
      <c r="B10" s="44">
        <f t="shared" si="0"/>
        <v>5</v>
      </c>
      <c r="C10" s="31"/>
      <c r="D10" s="31" t="s">
        <v>372</v>
      </c>
      <c r="E10" s="33" t="s">
        <v>372</v>
      </c>
      <c r="F10" s="33"/>
      <c r="G10" s="31"/>
      <c r="H10" s="33"/>
      <c r="I10" s="33"/>
      <c r="J10" s="33"/>
      <c r="K10" s="33"/>
      <c r="L10" s="33"/>
      <c r="M10" s="31"/>
      <c r="N10" s="31"/>
      <c r="O10" s="33"/>
      <c r="P10" s="31"/>
    </row>
    <row r="11" spans="2:56" ht="30.75" customHeight="1" x14ac:dyDescent="0.2">
      <c r="B11" s="44">
        <f t="shared" si="0"/>
        <v>6</v>
      </c>
      <c r="C11" s="31"/>
      <c r="D11" s="31"/>
      <c r="E11" s="33"/>
      <c r="F11" s="33"/>
      <c r="G11" s="33"/>
      <c r="H11" s="33"/>
      <c r="I11" s="33"/>
      <c r="J11" s="33"/>
      <c r="K11" s="33"/>
      <c r="L11" s="33"/>
      <c r="M11" s="31"/>
      <c r="N11" s="31"/>
      <c r="O11" s="33"/>
      <c r="P11" s="33"/>
    </row>
    <row r="12" spans="2:56" ht="30.75" customHeight="1" x14ac:dyDescent="0.2">
      <c r="B12" s="44">
        <f t="shared" si="0"/>
        <v>7</v>
      </c>
      <c r="C12" s="31"/>
      <c r="D12" s="31"/>
      <c r="E12" s="31"/>
      <c r="F12" s="33"/>
      <c r="G12" s="31"/>
      <c r="H12" s="33"/>
      <c r="I12" s="33"/>
      <c r="J12" s="33"/>
      <c r="K12" s="31"/>
      <c r="L12" s="31"/>
      <c r="M12" s="31"/>
      <c r="N12" s="31"/>
      <c r="O12" s="33"/>
      <c r="P12" s="31"/>
    </row>
    <row r="13" spans="2:56" ht="30.75" customHeight="1" x14ac:dyDescent="0.2">
      <c r="B13" s="44">
        <f t="shared" si="0"/>
        <v>8</v>
      </c>
      <c r="C13" s="31"/>
      <c r="D13" s="31"/>
      <c r="E13" s="31"/>
      <c r="F13" s="33"/>
      <c r="G13" s="31"/>
      <c r="H13" s="33"/>
      <c r="I13" s="33"/>
      <c r="J13" s="33"/>
      <c r="K13" s="31"/>
      <c r="L13" s="31"/>
      <c r="M13" s="31"/>
      <c r="N13" s="31"/>
      <c r="O13" s="33"/>
      <c r="P13" s="31"/>
    </row>
    <row r="14" spans="2:56" ht="30.75" customHeight="1" x14ac:dyDescent="0.2">
      <c r="B14" s="44">
        <f t="shared" si="0"/>
        <v>9</v>
      </c>
      <c r="C14" s="31"/>
      <c r="D14" s="31"/>
      <c r="E14" s="31"/>
      <c r="F14" s="33"/>
      <c r="G14" s="31"/>
      <c r="H14" s="33"/>
      <c r="I14" s="33"/>
      <c r="J14" s="33"/>
      <c r="K14" s="31"/>
      <c r="L14" s="31"/>
      <c r="M14" s="31"/>
      <c r="N14" s="31"/>
      <c r="O14" s="33"/>
      <c r="P14" s="31"/>
    </row>
    <row r="15" spans="2:56" ht="30.75" customHeight="1" x14ac:dyDescent="0.2">
      <c r="B15" s="44">
        <f t="shared" si="0"/>
        <v>10</v>
      </c>
      <c r="C15" s="31"/>
      <c r="D15" s="31"/>
      <c r="E15" s="31"/>
      <c r="F15" s="33"/>
      <c r="G15" s="31"/>
      <c r="H15" s="33"/>
      <c r="I15" s="33"/>
      <c r="J15" s="33"/>
      <c r="K15" s="31"/>
      <c r="L15" s="31"/>
      <c r="M15" s="31"/>
      <c r="N15" s="31"/>
      <c r="O15" s="33"/>
      <c r="P15" s="31"/>
    </row>
  </sheetData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/>
  <headerFooter>
    <oddFooter>&amp;P / &amp;N ページ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AT14"/>
  <sheetViews>
    <sheetView workbookViewId="0">
      <selection activeCell="B2" sqref="B2"/>
    </sheetView>
  </sheetViews>
  <sheetFormatPr defaultColWidth="10" defaultRowHeight="15" x14ac:dyDescent="0.2"/>
  <cols>
    <col min="1" max="1" width="4.453125" style="34" customWidth="1"/>
    <col min="2" max="2" width="10" style="34"/>
    <col min="3" max="3" width="14" style="34" bestFit="1" customWidth="1"/>
    <col min="4" max="4" width="15.36328125" style="34" customWidth="1"/>
    <col min="5" max="5" width="36.90625" style="34" bestFit="1" customWidth="1"/>
    <col min="6" max="6" width="9.36328125" style="34" bestFit="1" customWidth="1"/>
    <col min="7" max="16384" width="10" style="34"/>
  </cols>
  <sheetData>
    <row r="1" spans="2:46" s="29" customFormat="1" ht="13.5" customHeight="1" x14ac:dyDescent="0.2"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</row>
    <row r="2" spans="2:46" x14ac:dyDescent="0.2">
      <c r="B2" s="34" t="s">
        <v>373</v>
      </c>
    </row>
    <row r="4" spans="2:46" ht="25.5" customHeight="1" x14ac:dyDescent="0.2">
      <c r="B4" s="45" t="s">
        <v>367</v>
      </c>
      <c r="C4" s="45" t="s">
        <v>361</v>
      </c>
      <c r="D4" s="45" t="s">
        <v>368</v>
      </c>
      <c r="E4" s="45" t="s">
        <v>369</v>
      </c>
      <c r="F4" s="45" t="s">
        <v>90</v>
      </c>
    </row>
    <row r="5" spans="2:46" ht="30.75" customHeight="1" x14ac:dyDescent="0.2">
      <c r="B5" s="44">
        <f>ROW()-4</f>
        <v>1</v>
      </c>
      <c r="C5" s="31" t="s">
        <v>371</v>
      </c>
      <c r="D5" s="31"/>
      <c r="E5" s="33"/>
      <c r="F5" s="31"/>
    </row>
    <row r="6" spans="2:46" ht="30.75" customHeight="1" x14ac:dyDescent="0.2">
      <c r="B6" s="44">
        <f t="shared" ref="B6:B14" si="0">ROW()-4</f>
        <v>2</v>
      </c>
      <c r="C6" s="31"/>
      <c r="D6" s="31"/>
      <c r="E6" s="33"/>
      <c r="F6" s="31"/>
    </row>
    <row r="7" spans="2:46" ht="30.75" customHeight="1" x14ac:dyDescent="0.2">
      <c r="B7" s="44">
        <f t="shared" si="0"/>
        <v>3</v>
      </c>
      <c r="C7" s="31"/>
      <c r="D7" s="31"/>
      <c r="E7" s="31"/>
      <c r="F7" s="31"/>
    </row>
    <row r="8" spans="2:46" ht="30.75" customHeight="1" x14ac:dyDescent="0.2">
      <c r="B8" s="44">
        <f t="shared" si="0"/>
        <v>4</v>
      </c>
      <c r="C8" s="31"/>
      <c r="D8" s="31"/>
      <c r="E8" s="31"/>
      <c r="F8" s="33"/>
    </row>
    <row r="9" spans="2:46" ht="30.75" customHeight="1" x14ac:dyDescent="0.2">
      <c r="B9" s="44">
        <f t="shared" si="0"/>
        <v>5</v>
      </c>
      <c r="C9" s="31"/>
      <c r="D9" s="31"/>
      <c r="E9" s="33"/>
      <c r="F9" s="33"/>
    </row>
    <row r="10" spans="2:46" ht="30.75" customHeight="1" x14ac:dyDescent="0.2">
      <c r="B10" s="44">
        <f t="shared" si="0"/>
        <v>6</v>
      </c>
      <c r="C10" s="31"/>
      <c r="D10" s="31"/>
      <c r="E10" s="33"/>
      <c r="F10" s="33"/>
    </row>
    <row r="11" spans="2:46" ht="30.75" customHeight="1" x14ac:dyDescent="0.2">
      <c r="B11" s="44">
        <f t="shared" si="0"/>
        <v>7</v>
      </c>
      <c r="C11" s="31"/>
      <c r="D11" s="31"/>
      <c r="E11" s="31"/>
      <c r="F11" s="33"/>
    </row>
    <row r="12" spans="2:46" ht="30.75" customHeight="1" x14ac:dyDescent="0.2">
      <c r="B12" s="44">
        <f t="shared" si="0"/>
        <v>8</v>
      </c>
      <c r="C12" s="31"/>
      <c r="D12" s="31"/>
      <c r="E12" s="31"/>
      <c r="F12" s="33"/>
    </row>
    <row r="13" spans="2:46" ht="30.75" customHeight="1" x14ac:dyDescent="0.2">
      <c r="B13" s="44">
        <f t="shared" si="0"/>
        <v>9</v>
      </c>
      <c r="C13" s="31"/>
      <c r="D13" s="31"/>
      <c r="E13" s="31"/>
      <c r="F13" s="33"/>
    </row>
    <row r="14" spans="2:46" ht="30.75" customHeight="1" x14ac:dyDescent="0.2">
      <c r="B14" s="44">
        <f t="shared" si="0"/>
        <v>10</v>
      </c>
      <c r="C14" s="31"/>
      <c r="D14" s="31"/>
      <c r="E14" s="31"/>
      <c r="F14" s="33"/>
    </row>
  </sheetData>
  <phoneticPr fontId="2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BD35"/>
  <sheetViews>
    <sheetView showGridLines="0" zoomScale="85" zoomScaleNormal="85" workbookViewId="0">
      <selection activeCell="A2" sqref="A2"/>
    </sheetView>
  </sheetViews>
  <sheetFormatPr defaultColWidth="10" defaultRowHeight="15" x14ac:dyDescent="0.2"/>
  <cols>
    <col min="1" max="1" width="4.453125" style="34" customWidth="1"/>
    <col min="2" max="2" width="10" style="34"/>
    <col min="3" max="3" width="14" style="34" bestFit="1" customWidth="1"/>
    <col min="4" max="4" width="15.36328125" style="34" customWidth="1"/>
    <col min="5" max="5" width="36.90625" style="34" bestFit="1" customWidth="1"/>
    <col min="6" max="7" width="9.36328125" style="34" bestFit="1" customWidth="1"/>
    <col min="8" max="8" width="13.36328125" style="34" bestFit="1" customWidth="1"/>
    <col min="9" max="9" width="11.6328125" style="34" bestFit="1" customWidth="1"/>
    <col min="10" max="10" width="9.453125" style="34" bestFit="1" customWidth="1"/>
    <col min="11" max="11" width="10.7265625" style="34" bestFit="1" customWidth="1"/>
    <col min="12" max="12" width="19" style="34" customWidth="1"/>
    <col min="13" max="13" width="14.08984375" style="34" bestFit="1" customWidth="1"/>
    <col min="14" max="14" width="23.90625" style="34" customWidth="1"/>
    <col min="15" max="15" width="20.90625" style="34" bestFit="1" customWidth="1"/>
    <col min="16" max="16" width="38.7265625" style="34" bestFit="1" customWidth="1"/>
    <col min="17" max="16384" width="10" style="34"/>
  </cols>
  <sheetData>
    <row r="1" spans="2:56" s="29" customFormat="1" ht="13.5" customHeight="1" x14ac:dyDescent="0.2"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</row>
    <row r="2" spans="2:56" x14ac:dyDescent="0.2">
      <c r="B2" s="32" t="s">
        <v>65</v>
      </c>
      <c r="C2" s="33" t="s">
        <v>374</v>
      </c>
      <c r="D2" s="32" t="s">
        <v>66</v>
      </c>
      <c r="E2" s="31" t="s">
        <v>57</v>
      </c>
      <c r="M2" s="32" t="s">
        <v>67</v>
      </c>
      <c r="N2" s="33" t="s">
        <v>14</v>
      </c>
      <c r="O2" s="32" t="s">
        <v>68</v>
      </c>
      <c r="P2" s="33" t="s">
        <v>69</v>
      </c>
    </row>
    <row r="3" spans="2:56" x14ac:dyDescent="0.2">
      <c r="B3" s="32" t="s">
        <v>70</v>
      </c>
      <c r="C3" s="31" t="s">
        <v>360</v>
      </c>
      <c r="D3" s="32" t="s">
        <v>71</v>
      </c>
      <c r="E3" s="31" t="s">
        <v>343</v>
      </c>
      <c r="M3" s="32" t="s">
        <v>72</v>
      </c>
      <c r="N3" s="33" t="s">
        <v>73</v>
      </c>
      <c r="O3" s="32" t="s">
        <v>74</v>
      </c>
      <c r="P3" s="33" t="s">
        <v>75</v>
      </c>
    </row>
    <row r="5" spans="2:56" ht="25.5" customHeight="1" x14ac:dyDescent="0.2">
      <c r="B5" s="32" t="s">
        <v>76</v>
      </c>
      <c r="C5" s="32" t="s">
        <v>77</v>
      </c>
      <c r="D5" s="32" t="s">
        <v>78</v>
      </c>
      <c r="E5" s="32" t="s">
        <v>79</v>
      </c>
      <c r="F5" s="32" t="s">
        <v>80</v>
      </c>
      <c r="G5" s="32" t="s">
        <v>81</v>
      </c>
      <c r="H5" s="32" t="s">
        <v>82</v>
      </c>
      <c r="I5" s="32" t="s">
        <v>83</v>
      </c>
      <c r="J5" s="32" t="s">
        <v>84</v>
      </c>
      <c r="K5" s="32" t="s">
        <v>85</v>
      </c>
      <c r="L5" s="32" t="s">
        <v>86</v>
      </c>
      <c r="M5" s="32" t="s">
        <v>87</v>
      </c>
      <c r="N5" s="32" t="s">
        <v>88</v>
      </c>
      <c r="O5" s="32" t="s">
        <v>89</v>
      </c>
      <c r="P5" s="32" t="s">
        <v>90</v>
      </c>
    </row>
    <row r="6" spans="2:56" ht="30.75" customHeight="1" x14ac:dyDescent="0.2">
      <c r="B6" s="44">
        <f>ROW()-5</f>
        <v>1</v>
      </c>
      <c r="C6" s="31"/>
      <c r="D6" s="31"/>
      <c r="E6" s="33"/>
      <c r="F6" s="31"/>
      <c r="G6" s="31"/>
      <c r="H6" s="33"/>
      <c r="I6" s="33"/>
      <c r="J6" s="31"/>
      <c r="K6" s="33"/>
      <c r="L6" s="33"/>
      <c r="M6" s="31"/>
      <c r="N6" s="31"/>
      <c r="O6" s="33"/>
      <c r="P6" s="31"/>
    </row>
    <row r="7" spans="2:56" ht="30.75" customHeight="1" x14ac:dyDescent="0.2">
      <c r="B7" s="44">
        <f t="shared" ref="B7:B35" si="0">ROW()-5</f>
        <v>2</v>
      </c>
      <c r="C7" s="31"/>
      <c r="D7" s="31"/>
      <c r="E7" s="33"/>
      <c r="F7" s="31"/>
      <c r="G7" s="31"/>
      <c r="H7" s="33"/>
      <c r="I7" s="33"/>
      <c r="J7" s="31"/>
      <c r="K7" s="33"/>
      <c r="L7" s="33"/>
      <c r="M7" s="31"/>
      <c r="N7" s="31"/>
      <c r="O7" s="33"/>
      <c r="P7" s="33"/>
    </row>
    <row r="8" spans="2:56" ht="30.75" customHeight="1" x14ac:dyDescent="0.2">
      <c r="B8" s="44">
        <f t="shared" si="0"/>
        <v>3</v>
      </c>
      <c r="C8" s="31"/>
      <c r="D8" s="31"/>
      <c r="E8" s="31"/>
      <c r="F8" s="33"/>
      <c r="G8" s="31"/>
      <c r="H8" s="33"/>
      <c r="I8" s="33"/>
      <c r="J8" s="33"/>
      <c r="K8" s="33"/>
      <c r="L8" s="33"/>
      <c r="M8" s="31"/>
      <c r="N8" s="31"/>
      <c r="O8" s="33"/>
      <c r="P8" s="31"/>
    </row>
    <row r="9" spans="2:56" ht="30.75" customHeight="1" x14ac:dyDescent="0.2">
      <c r="B9" s="44">
        <f t="shared" si="0"/>
        <v>4</v>
      </c>
      <c r="C9" s="31"/>
      <c r="D9" s="31"/>
      <c r="E9" s="31"/>
      <c r="F9" s="33"/>
      <c r="G9" s="31"/>
      <c r="H9" s="33"/>
      <c r="I9" s="33"/>
      <c r="J9" s="33"/>
      <c r="K9" s="33"/>
      <c r="L9" s="33"/>
      <c r="M9" s="31"/>
      <c r="N9" s="31"/>
      <c r="O9" s="33"/>
      <c r="P9" s="31"/>
    </row>
    <row r="10" spans="2:56" ht="30.75" customHeight="1" x14ac:dyDescent="0.2">
      <c r="B10" s="44">
        <f t="shared" si="0"/>
        <v>5</v>
      </c>
      <c r="C10" s="31"/>
      <c r="D10" s="31"/>
      <c r="E10" s="33"/>
      <c r="F10" s="33"/>
      <c r="G10" s="31"/>
      <c r="H10" s="33"/>
      <c r="I10" s="33"/>
      <c r="J10" s="33"/>
      <c r="K10" s="33"/>
      <c r="L10" s="33"/>
      <c r="M10" s="31"/>
      <c r="N10" s="31"/>
      <c r="O10" s="33"/>
      <c r="P10" s="31"/>
    </row>
    <row r="11" spans="2:56" ht="30.75" customHeight="1" x14ac:dyDescent="0.2">
      <c r="B11" s="44">
        <f t="shared" si="0"/>
        <v>6</v>
      </c>
      <c r="C11" s="31"/>
      <c r="D11" s="31"/>
      <c r="E11" s="33"/>
      <c r="F11" s="33"/>
      <c r="G11" s="33"/>
      <c r="H11" s="33"/>
      <c r="I11" s="33"/>
      <c r="J11" s="33"/>
      <c r="K11" s="33"/>
      <c r="L11" s="33"/>
      <c r="M11" s="31"/>
      <c r="N11" s="31"/>
      <c r="O11" s="33"/>
      <c r="P11" s="33"/>
    </row>
    <row r="12" spans="2:56" ht="30.75" customHeight="1" x14ac:dyDescent="0.2">
      <c r="B12" s="44">
        <f t="shared" si="0"/>
        <v>7</v>
      </c>
      <c r="C12" s="31"/>
      <c r="D12" s="31"/>
      <c r="E12" s="31"/>
      <c r="F12" s="33"/>
      <c r="G12" s="31"/>
      <c r="H12" s="33"/>
      <c r="I12" s="33"/>
      <c r="J12" s="33"/>
      <c r="K12" s="31"/>
      <c r="L12" s="31"/>
      <c r="M12" s="31"/>
      <c r="N12" s="31"/>
      <c r="O12" s="33"/>
      <c r="P12" s="31"/>
    </row>
    <row r="13" spans="2:56" ht="30.75" customHeight="1" x14ac:dyDescent="0.2">
      <c r="B13" s="44">
        <f t="shared" si="0"/>
        <v>8</v>
      </c>
      <c r="C13" s="31"/>
      <c r="D13" s="31"/>
      <c r="E13" s="31"/>
      <c r="F13" s="33"/>
      <c r="G13" s="31"/>
      <c r="H13" s="33"/>
      <c r="I13" s="33"/>
      <c r="J13" s="33"/>
      <c r="K13" s="31"/>
      <c r="L13" s="31"/>
      <c r="M13" s="31"/>
      <c r="N13" s="31"/>
      <c r="O13" s="33"/>
      <c r="P13" s="31"/>
    </row>
    <row r="14" spans="2:56" ht="30.75" customHeight="1" x14ac:dyDescent="0.2">
      <c r="B14" s="44">
        <f t="shared" si="0"/>
        <v>9</v>
      </c>
      <c r="C14" s="31"/>
      <c r="D14" s="31"/>
      <c r="E14" s="31"/>
      <c r="F14" s="33"/>
      <c r="G14" s="31"/>
      <c r="H14" s="33"/>
      <c r="I14" s="33"/>
      <c r="J14" s="33"/>
      <c r="K14" s="31"/>
      <c r="L14" s="31"/>
      <c r="M14" s="31"/>
      <c r="N14" s="31"/>
      <c r="O14" s="33"/>
      <c r="P14" s="31"/>
    </row>
    <row r="15" spans="2:56" ht="30.75" customHeight="1" x14ac:dyDescent="0.2">
      <c r="B15" s="44">
        <f t="shared" si="0"/>
        <v>10</v>
      </c>
      <c r="C15" s="31"/>
      <c r="D15" s="31"/>
      <c r="E15" s="31"/>
      <c r="F15" s="33"/>
      <c r="G15" s="31"/>
      <c r="H15" s="33"/>
      <c r="I15" s="33"/>
      <c r="J15" s="33"/>
      <c r="K15" s="31"/>
      <c r="L15" s="31"/>
      <c r="M15" s="31"/>
      <c r="N15" s="31"/>
      <c r="O15" s="33"/>
      <c r="P15" s="31"/>
    </row>
    <row r="16" spans="2:56" x14ac:dyDescent="0.2">
      <c r="B16" s="44">
        <f t="shared" si="0"/>
        <v>11</v>
      </c>
      <c r="C16" s="31"/>
      <c r="D16" s="31"/>
      <c r="E16" s="31"/>
      <c r="F16" s="33"/>
      <c r="G16" s="31"/>
      <c r="H16" s="33"/>
      <c r="I16" s="33"/>
      <c r="J16" s="33"/>
      <c r="K16" s="31"/>
      <c r="L16" s="31"/>
      <c r="M16" s="31"/>
      <c r="N16" s="31"/>
      <c r="O16" s="33"/>
      <c r="P16" s="31"/>
    </row>
    <row r="17" spans="2:16" x14ac:dyDescent="0.2">
      <c r="B17" s="44">
        <f t="shared" si="0"/>
        <v>12</v>
      </c>
      <c r="C17" s="31"/>
      <c r="D17" s="31"/>
      <c r="E17" s="31"/>
      <c r="F17" s="33"/>
      <c r="G17" s="31"/>
      <c r="H17" s="33"/>
      <c r="I17" s="33"/>
      <c r="J17" s="33"/>
      <c r="K17" s="31"/>
      <c r="L17" s="31"/>
      <c r="M17" s="31"/>
      <c r="N17" s="31"/>
      <c r="O17" s="33"/>
      <c r="P17" s="31"/>
    </row>
    <row r="18" spans="2:16" x14ac:dyDescent="0.2">
      <c r="B18" s="44">
        <f t="shared" si="0"/>
        <v>13</v>
      </c>
      <c r="C18" s="31"/>
      <c r="D18" s="31"/>
      <c r="E18" s="31"/>
      <c r="F18" s="33"/>
      <c r="G18" s="31"/>
      <c r="H18" s="33"/>
      <c r="I18" s="33"/>
      <c r="J18" s="33"/>
      <c r="K18" s="31"/>
      <c r="L18" s="31"/>
      <c r="M18" s="31"/>
      <c r="N18" s="31"/>
      <c r="O18" s="33"/>
      <c r="P18" s="31"/>
    </row>
    <row r="19" spans="2:16" x14ac:dyDescent="0.2">
      <c r="B19" s="44">
        <f t="shared" si="0"/>
        <v>14</v>
      </c>
      <c r="C19" s="31"/>
      <c r="D19" s="31"/>
      <c r="E19" s="31"/>
      <c r="F19" s="33"/>
      <c r="G19" s="31"/>
      <c r="H19" s="33"/>
      <c r="I19" s="33"/>
      <c r="J19" s="33"/>
      <c r="K19" s="31"/>
      <c r="L19" s="31"/>
      <c r="M19" s="31"/>
      <c r="N19" s="31"/>
      <c r="O19" s="33"/>
      <c r="P19" s="31"/>
    </row>
    <row r="20" spans="2:16" x14ac:dyDescent="0.2">
      <c r="B20" s="44">
        <f t="shared" si="0"/>
        <v>15</v>
      </c>
      <c r="C20" s="31"/>
      <c r="D20" s="31"/>
      <c r="E20" s="31"/>
      <c r="F20" s="33"/>
      <c r="G20" s="31"/>
      <c r="H20" s="33"/>
      <c r="I20" s="33"/>
      <c r="J20" s="33"/>
      <c r="K20" s="31"/>
      <c r="L20" s="31"/>
      <c r="M20" s="31"/>
      <c r="N20" s="31"/>
      <c r="O20" s="33"/>
      <c r="P20" s="31"/>
    </row>
    <row r="21" spans="2:16" x14ac:dyDescent="0.2">
      <c r="B21" s="44">
        <f t="shared" si="0"/>
        <v>16</v>
      </c>
      <c r="C21" s="31"/>
      <c r="D21" s="31"/>
      <c r="E21" s="31"/>
      <c r="F21" s="33"/>
      <c r="G21" s="31"/>
      <c r="H21" s="33"/>
      <c r="I21" s="33"/>
      <c r="J21" s="33"/>
      <c r="K21" s="31"/>
      <c r="L21" s="31"/>
      <c r="M21" s="31"/>
      <c r="N21" s="31"/>
      <c r="O21" s="33"/>
      <c r="P21" s="31"/>
    </row>
    <row r="22" spans="2:16" x14ac:dyDescent="0.2">
      <c r="B22" s="44">
        <f t="shared" si="0"/>
        <v>17</v>
      </c>
      <c r="C22" s="31"/>
      <c r="D22" s="31"/>
      <c r="E22" s="31"/>
      <c r="F22" s="33"/>
      <c r="G22" s="31"/>
      <c r="H22" s="33"/>
      <c r="I22" s="33"/>
      <c r="J22" s="33"/>
      <c r="K22" s="31"/>
      <c r="L22" s="31"/>
      <c r="M22" s="31"/>
      <c r="N22" s="31"/>
      <c r="O22" s="33"/>
      <c r="P22" s="31"/>
    </row>
    <row r="23" spans="2:16" x14ac:dyDescent="0.2">
      <c r="B23" s="44">
        <f t="shared" si="0"/>
        <v>18</v>
      </c>
      <c r="C23" s="31"/>
      <c r="D23" s="31"/>
      <c r="E23" s="31"/>
      <c r="F23" s="33"/>
      <c r="G23" s="31"/>
      <c r="H23" s="33"/>
      <c r="I23" s="33"/>
      <c r="J23" s="33"/>
      <c r="K23" s="31"/>
      <c r="L23" s="31"/>
      <c r="M23" s="31"/>
      <c r="N23" s="31"/>
      <c r="O23" s="33"/>
      <c r="P23" s="31"/>
    </row>
    <row r="24" spans="2:16" x14ac:dyDescent="0.2">
      <c r="B24" s="44">
        <f t="shared" si="0"/>
        <v>19</v>
      </c>
      <c r="C24" s="31"/>
      <c r="D24" s="31"/>
      <c r="E24" s="31"/>
      <c r="F24" s="33"/>
      <c r="G24" s="31"/>
      <c r="H24" s="33"/>
      <c r="I24" s="33"/>
      <c r="J24" s="33"/>
      <c r="K24" s="31"/>
      <c r="L24" s="31"/>
      <c r="M24" s="31"/>
      <c r="N24" s="31"/>
      <c r="O24" s="33"/>
      <c r="P24" s="31"/>
    </row>
    <row r="25" spans="2:16" x14ac:dyDescent="0.2">
      <c r="B25" s="44">
        <f t="shared" si="0"/>
        <v>20</v>
      </c>
      <c r="C25" s="31"/>
      <c r="D25" s="31"/>
      <c r="E25" s="31"/>
      <c r="F25" s="33"/>
      <c r="G25" s="31"/>
      <c r="H25" s="33"/>
      <c r="I25" s="33"/>
      <c r="J25" s="33"/>
      <c r="K25" s="31"/>
      <c r="L25" s="31"/>
      <c r="M25" s="31"/>
      <c r="N25" s="31"/>
      <c r="O25" s="33"/>
      <c r="P25" s="31"/>
    </row>
    <row r="26" spans="2:16" x14ac:dyDescent="0.2">
      <c r="B26" s="44">
        <f t="shared" si="0"/>
        <v>21</v>
      </c>
      <c r="C26" s="31"/>
      <c r="D26" s="31"/>
      <c r="E26" s="31"/>
      <c r="F26" s="33"/>
      <c r="G26" s="31"/>
      <c r="H26" s="33"/>
      <c r="I26" s="33"/>
      <c r="J26" s="33"/>
      <c r="K26" s="31"/>
      <c r="L26" s="31"/>
      <c r="M26" s="31"/>
      <c r="N26" s="31"/>
      <c r="O26" s="33"/>
      <c r="P26" s="31"/>
    </row>
    <row r="27" spans="2:16" x14ac:dyDescent="0.2">
      <c r="B27" s="44">
        <f t="shared" si="0"/>
        <v>22</v>
      </c>
      <c r="C27" s="31"/>
      <c r="D27" s="31"/>
      <c r="E27" s="31"/>
      <c r="F27" s="33"/>
      <c r="G27" s="31"/>
      <c r="H27" s="33"/>
      <c r="I27" s="33"/>
      <c r="J27" s="33"/>
      <c r="K27" s="31"/>
      <c r="L27" s="31"/>
      <c r="M27" s="31"/>
      <c r="N27" s="31"/>
      <c r="O27" s="33"/>
      <c r="P27" s="31"/>
    </row>
    <row r="28" spans="2:16" x14ac:dyDescent="0.2">
      <c r="B28" s="44">
        <f t="shared" si="0"/>
        <v>23</v>
      </c>
      <c r="C28" s="31"/>
      <c r="D28" s="31"/>
      <c r="E28" s="31"/>
      <c r="F28" s="33"/>
      <c r="G28" s="33"/>
      <c r="H28" s="33"/>
      <c r="I28" s="33"/>
      <c r="J28" s="33"/>
      <c r="K28" s="33"/>
      <c r="L28" s="33"/>
      <c r="M28" s="31"/>
      <c r="N28" s="31"/>
      <c r="O28" s="33"/>
      <c r="P28" s="31"/>
    </row>
    <row r="29" spans="2:16" x14ac:dyDescent="0.2">
      <c r="B29" s="44">
        <f t="shared" si="0"/>
        <v>24</v>
      </c>
      <c r="C29" s="31"/>
      <c r="D29" s="31"/>
      <c r="E29" s="31"/>
      <c r="F29" s="33"/>
      <c r="G29" s="33"/>
      <c r="H29" s="33"/>
      <c r="I29" s="33"/>
      <c r="J29" s="33"/>
      <c r="K29" s="33"/>
      <c r="L29" s="33"/>
      <c r="M29" s="31"/>
      <c r="N29" s="31"/>
      <c r="O29" s="33"/>
      <c r="P29" s="31"/>
    </row>
    <row r="30" spans="2:16" x14ac:dyDescent="0.2">
      <c r="B30" s="44">
        <f t="shared" si="0"/>
        <v>25</v>
      </c>
      <c r="C30" s="31"/>
      <c r="D30" s="31"/>
      <c r="E30" s="31"/>
      <c r="F30" s="33"/>
      <c r="G30" s="33"/>
      <c r="H30" s="33"/>
      <c r="I30" s="33"/>
      <c r="J30" s="33"/>
      <c r="K30" s="31"/>
      <c r="L30" s="31"/>
      <c r="M30" s="31"/>
      <c r="N30" s="31"/>
      <c r="O30" s="33"/>
      <c r="P30" s="31"/>
    </row>
    <row r="31" spans="2:16" x14ac:dyDescent="0.2">
      <c r="B31" s="44">
        <f t="shared" si="0"/>
        <v>26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</row>
    <row r="32" spans="2:16" x14ac:dyDescent="0.2">
      <c r="B32" s="44">
        <f t="shared" si="0"/>
        <v>27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</row>
    <row r="33" spans="2:16" x14ac:dyDescent="0.2">
      <c r="B33" s="44">
        <f t="shared" si="0"/>
        <v>28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</row>
    <row r="34" spans="2:16" x14ac:dyDescent="0.2">
      <c r="B34" s="44">
        <f t="shared" si="0"/>
        <v>29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6"/>
    </row>
    <row r="35" spans="2:16" x14ac:dyDescent="0.2">
      <c r="B35" s="44">
        <f t="shared" si="0"/>
        <v>30</v>
      </c>
      <c r="C35" s="33"/>
      <c r="D35" s="33"/>
      <c r="E35" s="36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6"/>
    </row>
  </sheetData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20</vt:i4>
      </vt:variant>
    </vt:vector>
  </HeadingPairs>
  <TitlesOfParts>
    <vt:vector size="20" baseType="lpstr">
      <vt:lpstr>表紙</vt:lpstr>
      <vt:lpstr>改訂履歴</vt:lpstr>
      <vt:lpstr>テーブル一覧</vt:lpstr>
      <vt:lpstr>画面表示制御</vt:lpstr>
      <vt:lpstr>会員</vt:lpstr>
      <vt:lpstr>フレンド</vt:lpstr>
      <vt:lpstr>チャット部屋</vt:lpstr>
      <vt:lpstr>ユーザー部屋</vt:lpstr>
      <vt:lpstr>データイメージ</vt:lpstr>
      <vt:lpstr>ER図</vt:lpstr>
      <vt:lpstr>データモデル(準備)</vt:lpstr>
      <vt:lpstr>サンプル</vt:lpstr>
      <vt:lpstr>デッキ</vt:lpstr>
      <vt:lpstr>デッキ詳細</vt:lpstr>
      <vt:lpstr>カード</vt:lpstr>
      <vt:lpstr>カード詳細</vt:lpstr>
      <vt:lpstr>効果</vt:lpstr>
      <vt:lpstr>フェイズ管理</vt:lpstr>
      <vt:lpstr>フェイズ管理_定義</vt:lpstr>
      <vt:lpstr>対戦履歴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2021-11-23T14:10:33Z</dcterms:modified>
  <cp:category/>
  <cp:contentStatus/>
</cp:coreProperties>
</file>